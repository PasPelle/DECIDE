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pe14\OneDrive - Charité - Universitätsmedizin Berlin\Desktop\DECIDE_I\DECIDE_analysis\simulation\ES_datasets\"/>
    </mc:Choice>
  </mc:AlternateContent>
  <xr:revisionPtr revIDLastSave="1" documentId="11_1E5FC321DC6F21460664EC4FF7EA945014A96822" xr6:coauthVersionLast="36" xr6:coauthVersionMax="36" xr10:uidLastSave="{CB09DBF6-8727-4690-9866-3F502CC051E8}"/>
  <bookViews>
    <workbookView xWindow="0" yWindow="0" windowWidth="10470" windowHeight="4365" xr2:uid="{00000000-000D-0000-FFFF-FFFF00000000}"/>
  </bookViews>
  <sheets>
    <sheet name="default" sheetId="1" r:id="rId1"/>
    <sheet name="test_yi" sheetId="2" r:id="rId2"/>
  </sheets>
  <calcPr calcId="191029"/>
</workbook>
</file>

<file path=xl/calcChain.xml><?xml version="1.0" encoding="utf-8"?>
<calcChain xmlns="http://schemas.openxmlformats.org/spreadsheetml/2006/main">
  <c r="J2" i="2" l="1"/>
  <c r="L2" i="2" s="1"/>
  <c r="J3" i="2"/>
  <c r="L3" i="2" s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2" i="2"/>
  <c r="H234" i="2"/>
  <c r="G234" i="2"/>
  <c r="G233" i="2"/>
  <c r="H233" i="2"/>
  <c r="G232" i="2"/>
  <c r="I232" i="2" s="1"/>
  <c r="H231" i="2"/>
  <c r="I231" i="2" s="1"/>
  <c r="G231" i="2"/>
  <c r="H230" i="2"/>
  <c r="G230" i="2"/>
  <c r="H229" i="2"/>
  <c r="G229" i="2"/>
  <c r="I227" i="2"/>
  <c r="G226" i="2"/>
  <c r="H226" i="2"/>
  <c r="H223" i="2"/>
  <c r="I223" i="2" s="1"/>
  <c r="H222" i="2"/>
  <c r="G222" i="2"/>
  <c r="I222" i="2" s="1"/>
  <c r="H220" i="2"/>
  <c r="I220" i="2" s="1"/>
  <c r="G220" i="2"/>
  <c r="I219" i="2"/>
  <c r="I218" i="2"/>
  <c r="I217" i="2"/>
  <c r="I216" i="2"/>
  <c r="I215" i="2"/>
  <c r="H214" i="2"/>
  <c r="I214" i="2" s="1"/>
  <c r="I213" i="2"/>
  <c r="I210" i="2"/>
  <c r="I209" i="2"/>
  <c r="I208" i="2"/>
  <c r="I207" i="2"/>
  <c r="H206" i="2"/>
  <c r="I206" i="2" s="1"/>
  <c r="I205" i="2"/>
  <c r="H204" i="2"/>
  <c r="I204" i="2" s="1"/>
  <c r="H203" i="2"/>
  <c r="I203" i="2" s="1"/>
  <c r="H202" i="2"/>
  <c r="I202" i="2" s="1"/>
  <c r="I199" i="2"/>
  <c r="I198" i="2"/>
  <c r="I197" i="2"/>
  <c r="H196" i="2"/>
  <c r="H195" i="2"/>
  <c r="I195" i="2" s="1"/>
  <c r="I192" i="2"/>
  <c r="I191" i="2"/>
  <c r="I190" i="2"/>
  <c r="I189" i="2"/>
  <c r="H187" i="2"/>
  <c r="I187" i="2" s="1"/>
  <c r="H186" i="2"/>
  <c r="I186" i="2" s="1"/>
  <c r="H185" i="2"/>
  <c r="I185" i="2" s="1"/>
  <c r="I182" i="2"/>
  <c r="I178" i="2"/>
  <c r="I177" i="2"/>
  <c r="I175" i="2"/>
  <c r="I174" i="2"/>
  <c r="I172" i="2"/>
  <c r="I171" i="2"/>
  <c r="I170" i="2"/>
  <c r="H169" i="2"/>
  <c r="I169" i="2" s="1"/>
  <c r="H168" i="2"/>
  <c r="I168" i="2" s="1"/>
  <c r="I167" i="2"/>
  <c r="H166" i="2"/>
  <c r="G166" i="2"/>
  <c r="I163" i="2"/>
  <c r="I162" i="2"/>
  <c r="I161" i="2"/>
  <c r="I160" i="2"/>
  <c r="I159" i="2"/>
  <c r="I158" i="2"/>
  <c r="I157" i="2"/>
  <c r="H156" i="2"/>
  <c r="I156" i="2" s="1"/>
  <c r="G156" i="2"/>
  <c r="I155" i="2"/>
  <c r="I154" i="2"/>
  <c r="I153" i="2"/>
  <c r="I152" i="2"/>
  <c r="H151" i="2"/>
  <c r="H150" i="2"/>
  <c r="I150" i="2" s="1"/>
  <c r="H149" i="2"/>
  <c r="I149" i="2" s="1"/>
  <c r="I147" i="2"/>
  <c r="I145" i="2"/>
  <c r="I141" i="2"/>
  <c r="I140" i="2"/>
  <c r="I138" i="2"/>
  <c r="I137" i="2"/>
  <c r="I136" i="2"/>
  <c r="I132" i="2"/>
  <c r="I130" i="2"/>
  <c r="I129" i="2"/>
  <c r="H128" i="2"/>
  <c r="I128" i="2" s="1"/>
  <c r="I127" i="2"/>
  <c r="I125" i="2"/>
  <c r="I123" i="2"/>
  <c r="I122" i="2"/>
  <c r="H120" i="2"/>
  <c r="I120" i="2" s="1"/>
  <c r="G120" i="2"/>
  <c r="I114" i="2"/>
  <c r="I113" i="2"/>
  <c r="H112" i="2"/>
  <c r="I112" i="2" s="1"/>
  <c r="I111" i="2"/>
  <c r="I110" i="2"/>
  <c r="I109" i="2"/>
  <c r="I108" i="2"/>
  <c r="I107" i="2"/>
  <c r="I105" i="2"/>
  <c r="H103" i="2"/>
  <c r="I103" i="2" s="1"/>
  <c r="I102" i="2"/>
  <c r="I99" i="2"/>
  <c r="I98" i="2"/>
  <c r="I94" i="2"/>
  <c r="I93" i="2"/>
  <c r="H89" i="2"/>
  <c r="I89" i="2" s="1"/>
  <c r="I88" i="2"/>
  <c r="H87" i="2"/>
  <c r="I87" i="2" s="1"/>
  <c r="I85" i="2"/>
  <c r="I83" i="2"/>
  <c r="I82" i="2"/>
  <c r="I81" i="2"/>
  <c r="H80" i="2"/>
  <c r="I80" i="2" s="1"/>
  <c r="I79" i="2"/>
  <c r="I78" i="2"/>
  <c r="H77" i="2"/>
  <c r="I77" i="2" s="1"/>
  <c r="I75" i="2"/>
  <c r="I74" i="2"/>
  <c r="H72" i="2"/>
  <c r="I72" i="2" s="1"/>
  <c r="I71" i="2"/>
  <c r="I70" i="2"/>
  <c r="H69" i="2"/>
  <c r="I69" i="2" s="1"/>
  <c r="H68" i="2"/>
  <c r="I68" i="2" s="1"/>
  <c r="I67" i="2"/>
  <c r="I66" i="2"/>
  <c r="I65" i="2"/>
  <c r="I64" i="2"/>
  <c r="H63" i="2"/>
  <c r="G63" i="2"/>
  <c r="I63" i="2" s="1"/>
  <c r="H62" i="2"/>
  <c r="I62" i="2" s="1"/>
  <c r="I61" i="2"/>
  <c r="I60" i="2"/>
  <c r="G57" i="2"/>
  <c r="I56" i="2"/>
  <c r="I55" i="2"/>
  <c r="I53" i="2"/>
  <c r="H52" i="2"/>
  <c r="I52" i="2" s="1"/>
  <c r="I49" i="2"/>
  <c r="I48" i="2"/>
  <c r="I47" i="2"/>
  <c r="I45" i="2"/>
  <c r="I44" i="2"/>
  <c r="I43" i="2"/>
  <c r="I42" i="2"/>
  <c r="I40" i="2"/>
  <c r="I39" i="2"/>
  <c r="I38" i="2"/>
  <c r="I35" i="2"/>
  <c r="I34" i="2"/>
  <c r="I33" i="2"/>
  <c r="H32" i="2"/>
  <c r="I32" i="2" s="1"/>
  <c r="G32" i="2"/>
  <c r="H31" i="2"/>
  <c r="I31" i="2" s="1"/>
  <c r="H29" i="2"/>
  <c r="H28" i="2"/>
  <c r="H27" i="2"/>
  <c r="H26" i="2"/>
  <c r="H25" i="2"/>
  <c r="H24" i="2"/>
  <c r="H23" i="2"/>
  <c r="I23" i="2"/>
  <c r="H22" i="2"/>
  <c r="H21" i="2"/>
  <c r="H20" i="2"/>
  <c r="H19" i="2"/>
  <c r="H18" i="2"/>
  <c r="H17" i="2"/>
  <c r="H16" i="2"/>
  <c r="H15" i="2"/>
  <c r="H14" i="2"/>
  <c r="H13" i="2"/>
  <c r="H12" i="2"/>
  <c r="I12" i="2" s="1"/>
  <c r="H11" i="2"/>
  <c r="H10" i="2"/>
  <c r="H9" i="2"/>
  <c r="H8" i="2"/>
  <c r="H7" i="2"/>
  <c r="H6" i="2"/>
  <c r="H5" i="2"/>
  <c r="H4" i="2"/>
  <c r="H3" i="2"/>
  <c r="H2" i="2"/>
  <c r="I13" i="2" l="1"/>
  <c r="I26" i="2"/>
  <c r="I25" i="2"/>
  <c r="I2" i="2"/>
  <c r="I18" i="2"/>
  <c r="I14" i="2"/>
  <c r="I6" i="2"/>
  <c r="I16" i="2"/>
  <c r="I166" i="2"/>
  <c r="I234" i="2"/>
  <c r="I226" i="2"/>
  <c r="I229" i="2"/>
  <c r="I8" i="2"/>
  <c r="I230" i="2"/>
  <c r="I10" i="2"/>
  <c r="I22" i="2"/>
  <c r="I24" i="2"/>
  <c r="I20" i="2"/>
  <c r="I29" i="2"/>
  <c r="I15" i="2"/>
  <c r="I7" i="2"/>
  <c r="I19" i="2"/>
  <c r="I28" i="2"/>
  <c r="I4" i="2"/>
  <c r="I9" i="2"/>
  <c r="I3" i="2"/>
  <c r="I27" i="2"/>
  <c r="I17" i="2"/>
  <c r="I233" i="2"/>
  <c r="I21" i="2"/>
  <c r="I11" i="2"/>
  <c r="I5" i="2"/>
</calcChain>
</file>

<file path=xl/sharedStrings.xml><?xml version="1.0" encoding="utf-8"?>
<sst xmlns="http://schemas.openxmlformats.org/spreadsheetml/2006/main" count="6387" uniqueCount="1213">
  <si>
    <t>id</t>
  </si>
  <si>
    <t>test</t>
  </si>
  <si>
    <t>measure</t>
  </si>
  <si>
    <t>publication_id</t>
  </si>
  <si>
    <t>email</t>
  </si>
  <si>
    <t>group_single</t>
  </si>
  <si>
    <t>n_housing</t>
  </si>
  <si>
    <t>temperature</t>
  </si>
  <si>
    <t>humidity</t>
  </si>
  <si>
    <t>lux_house</t>
  </si>
  <si>
    <t>accl_lab_days</t>
  </si>
  <si>
    <t>phase_light..yes.no.</t>
  </si>
  <si>
    <t>light_red</t>
  </si>
  <si>
    <t>lux_test</t>
  </si>
  <si>
    <t>accl_test_</t>
  </si>
  <si>
    <t>OF_size</t>
  </si>
  <si>
    <t>strain</t>
  </si>
  <si>
    <t>sex</t>
  </si>
  <si>
    <t>age_weeks</t>
  </si>
  <si>
    <t>drug</t>
  </si>
  <si>
    <t>dosage</t>
  </si>
  <si>
    <t>drug_adm</t>
  </si>
  <si>
    <t>adm_mode</t>
  </si>
  <si>
    <t>adm_before</t>
  </si>
  <si>
    <t>stress</t>
  </si>
  <si>
    <t>dur_min..min.</t>
  </si>
  <si>
    <t>cn_mean</t>
  </si>
  <si>
    <t>cn_n</t>
  </si>
  <si>
    <t>cn_n_unadj</t>
  </si>
  <si>
    <t>cn_sd</t>
  </si>
  <si>
    <t>cn_sem</t>
  </si>
  <si>
    <t>treat_mean</t>
  </si>
  <si>
    <t>treat_n</t>
  </si>
  <si>
    <t>treat_sd</t>
  </si>
  <si>
    <t>treat_sem</t>
  </si>
  <si>
    <t>strain_def</t>
  </si>
  <si>
    <t>yi</t>
  </si>
  <si>
    <t>vi</t>
  </si>
  <si>
    <t>total_n</t>
  </si>
  <si>
    <t>correction</t>
  </si>
  <si>
    <t>sei</t>
  </si>
  <si>
    <t>zi</t>
  </si>
  <si>
    <t>ci.lb</t>
  </si>
  <si>
    <t>ci.ub</t>
  </si>
  <si>
    <t>obs_excl</t>
  </si>
  <si>
    <t>ES</t>
  </si>
  <si>
    <t>control_yn</t>
  </si>
  <si>
    <t>standard_for</t>
  </si>
  <si>
    <t>standard_work_yn</t>
  </si>
  <si>
    <t>diaz_effect</t>
  </si>
  <si>
    <t>rationale</t>
  </si>
  <si>
    <t>10</t>
  </si>
  <si>
    <t>OF</t>
  </si>
  <si>
    <t>sqrs</t>
  </si>
  <si>
    <t>a.7</t>
  </si>
  <si>
    <t>eoagbaje@cmul.edu.ng</t>
  </si>
  <si>
    <t>group</t>
  </si>
  <si>
    <t>6</t>
  </si>
  <si>
    <t>25.5</t>
  </si>
  <si>
    <t>62.5</t>
  </si>
  <si>
    <t>yes</t>
  </si>
  <si>
    <t>0.33</t>
  </si>
  <si>
    <t>50x50x25</t>
  </si>
  <si>
    <t>swiss</t>
  </si>
  <si>
    <t>male</t>
  </si>
  <si>
    <t>8</t>
  </si>
  <si>
    <t>diazepam</t>
  </si>
  <si>
    <t>po</t>
  </si>
  <si>
    <t>no</t>
  </si>
  <si>
    <t>5</t>
  </si>
  <si>
    <t>3.99</t>
  </si>
  <si>
    <t>4.22</t>
  </si>
  <si>
    <t>Swiss</t>
  </si>
  <si>
    <t>low</t>
  </si>
  <si>
    <t/>
  </si>
  <si>
    <t>44</t>
  </si>
  <si>
    <t>a.46</t>
  </si>
  <si>
    <t>luthfunnesa_ph@yahoo.com</t>
  </si>
  <si>
    <t>7</t>
  </si>
  <si>
    <t>acute</t>
  </si>
  <si>
    <t>60</t>
  </si>
  <si>
    <t>3</t>
  </si>
  <si>
    <t>2.42</t>
  </si>
  <si>
    <t>1.92</t>
  </si>
  <si>
    <t>DS</t>
  </si>
  <si>
    <t>63</t>
  </si>
  <si>
    <t>b.9</t>
  </si>
  <si>
    <t>laviola@iss.it</t>
  </si>
  <si>
    <t>21</t>
  </si>
  <si>
    <t>50x50x50</t>
  </si>
  <si>
    <t>CD-1</t>
  </si>
  <si>
    <t>ip</t>
  </si>
  <si>
    <t>20</t>
  </si>
  <si>
    <t>16.27</t>
  </si>
  <si>
    <t>25.58</t>
  </si>
  <si>
    <t>high</t>
  </si>
  <si>
    <t>A</t>
  </si>
  <si>
    <t>L</t>
  </si>
  <si>
    <t>73</t>
  </si>
  <si>
    <t>b.16</t>
  </si>
  <si>
    <t>naina.akbar@yahoo.com</t>
  </si>
  <si>
    <t>22</t>
  </si>
  <si>
    <t>BALB/c</t>
  </si>
  <si>
    <t>both</t>
  </si>
  <si>
    <t>3.34</t>
  </si>
  <si>
    <t>7.8</t>
  </si>
  <si>
    <t>112</t>
  </si>
  <si>
    <t>b.45</t>
  </si>
  <si>
    <t>ana.l.rodrigues@ufsc.br</t>
  </si>
  <si>
    <t>12</t>
  </si>
  <si>
    <t>1</t>
  </si>
  <si>
    <t>female</t>
  </si>
  <si>
    <t>2.1800000000000002</t>
  </si>
  <si>
    <t>2.2799999999999998</t>
  </si>
  <si>
    <t>LAE</t>
  </si>
  <si>
    <t>141</t>
  </si>
  <si>
    <t>c.17</t>
  </si>
  <si>
    <t>olulolo@yahoo.com</t>
  </si>
  <si>
    <t>15</t>
  </si>
  <si>
    <t>23</t>
  </si>
  <si>
    <t>65</t>
  </si>
  <si>
    <t>62.8cm^2xh50cm</t>
  </si>
  <si>
    <t>5.5</t>
  </si>
  <si>
    <t>7.5699999999999932</t>
  </si>
  <si>
    <t>14.44</t>
  </si>
  <si>
    <t>146</t>
  </si>
  <si>
    <t>c.18</t>
  </si>
  <si>
    <t>shawkat.ali@bracu.ac.bd</t>
  </si>
  <si>
    <t>24</t>
  </si>
  <si>
    <t>14</t>
  </si>
  <si>
    <t>0.5m^2xh40cm</t>
  </si>
  <si>
    <t>4.5</t>
  </si>
  <si>
    <t>11.39</t>
  </si>
  <si>
    <t>11.28</t>
  </si>
  <si>
    <t>155</t>
  </si>
  <si>
    <t>c.21</t>
  </si>
  <si>
    <t>mohan_mahalaxmi@indiatimes.com</t>
  </si>
  <si>
    <t>25</t>
  </si>
  <si>
    <t>albino</t>
  </si>
  <si>
    <t>30</t>
  </si>
  <si>
    <t>5.14</t>
  </si>
  <si>
    <t>16.23</t>
  </si>
  <si>
    <t>156</t>
  </si>
  <si>
    <t>c.22</t>
  </si>
  <si>
    <t>drnaveedrph@gmail.com</t>
  </si>
  <si>
    <t>red</t>
  </si>
  <si>
    <t>150diam</t>
  </si>
  <si>
    <t>1.23</t>
  </si>
  <si>
    <t>0.02</t>
  </si>
  <si>
    <t>165</t>
  </si>
  <si>
    <t>c.28</t>
  </si>
  <si>
    <t>mx_on@hotmail.com</t>
  </si>
  <si>
    <t>31x31x15</t>
  </si>
  <si>
    <t>3.4</t>
  </si>
  <si>
    <t>3.2</t>
  </si>
  <si>
    <t>181</t>
  </si>
  <si>
    <t>c.38</t>
  </si>
  <si>
    <t>clea@ufc.br</t>
  </si>
  <si>
    <t>30x30x15</t>
  </si>
  <si>
    <t>3.1</t>
  </si>
  <si>
    <t>4.3</t>
  </si>
  <si>
    <t>192</t>
  </si>
  <si>
    <t>c.44</t>
  </si>
  <si>
    <t>kennon-garrett@ouhsc.edu</t>
  </si>
  <si>
    <t>light</t>
  </si>
  <si>
    <t>100</t>
  </si>
  <si>
    <t>BALB/cByJ</t>
  </si>
  <si>
    <t>7.58</t>
  </si>
  <si>
    <t>11.36</t>
  </si>
  <si>
    <t>203</t>
  </si>
  <si>
    <t>d.2</t>
  </si>
  <si>
    <t>manna.034@gmail.com</t>
  </si>
  <si>
    <t>2.66</t>
  </si>
  <si>
    <t>2.04</t>
  </si>
  <si>
    <t>224</t>
  </si>
  <si>
    <t>d.8</t>
  </si>
  <si>
    <t>jackson.guedes@univasf.edu.br</t>
  </si>
  <si>
    <t>2</t>
  </si>
  <si>
    <t>2.86</t>
  </si>
  <si>
    <t>1.4299999999999997</t>
  </si>
  <si>
    <t>234</t>
  </si>
  <si>
    <t>d.11</t>
  </si>
  <si>
    <t>chilanguisima@yahoo.com</t>
  </si>
  <si>
    <t>ICR albino</t>
  </si>
  <si>
    <t>19.127238431096107</t>
  </si>
  <si>
    <t>10.260119395016797</t>
  </si>
  <si>
    <t>242</t>
  </si>
  <si>
    <t>d.12</t>
  </si>
  <si>
    <t>shailesh_pharmacol@yahoo.com</t>
  </si>
  <si>
    <t>50</t>
  </si>
  <si>
    <t>4.78</t>
  </si>
  <si>
    <t>41.88</t>
  </si>
  <si>
    <t>247</t>
  </si>
  <si>
    <t>d.15</t>
  </si>
  <si>
    <t>mashaljcs@yahoo.com, abdurrauf@uoswabi.edu.pk</t>
  </si>
  <si>
    <t>10.86</t>
  </si>
  <si>
    <t>7.51</t>
  </si>
  <si>
    <t>255</t>
  </si>
  <si>
    <t>d.17</t>
  </si>
  <si>
    <t>m.abouhosseini@ausmt.ac.ir</t>
  </si>
  <si>
    <t>3.5</t>
  </si>
  <si>
    <t>3.26</t>
  </si>
  <si>
    <t>3.5900000000000034</t>
  </si>
  <si>
    <t>300</t>
  </si>
  <si>
    <t>d.49</t>
  </si>
  <si>
    <t>ts.nagaraja@rediffmail.com</t>
  </si>
  <si>
    <t>200</t>
  </si>
  <si>
    <t>60x60x60</t>
  </si>
  <si>
    <t>5.4</t>
  </si>
  <si>
    <t>8.9</t>
  </si>
  <si>
    <t>335</t>
  </si>
  <si>
    <t>e.28</t>
  </si>
  <si>
    <t>clariceveloso@ufam.edu.br</t>
  </si>
  <si>
    <t>40diam</t>
  </si>
  <si>
    <t>4.3600000000000003</t>
  </si>
  <si>
    <t>9.8000000000000007</t>
  </si>
  <si>
    <t>341</t>
  </si>
  <si>
    <t>e.35</t>
  </si>
  <si>
    <t>rivelilson@pq.cnpq.br</t>
  </si>
  <si>
    <t>9</t>
  </si>
  <si>
    <t>NA</t>
  </si>
  <si>
    <t>10.710000000000008</t>
  </si>
  <si>
    <t>4.1399999999999997</t>
  </si>
  <si>
    <t>344</t>
  </si>
  <si>
    <t>e.44</t>
  </si>
  <si>
    <t>mahmud_reaz@yahoo.com</t>
  </si>
  <si>
    <t>100x100x40</t>
  </si>
  <si>
    <t>14.015163811624424</t>
  </si>
  <si>
    <t>11.386044821037146</t>
  </si>
  <si>
    <t>375</t>
  </si>
  <si>
    <t>f.24</t>
  </si>
  <si>
    <t>vaishali.hase66@gmail.com</t>
  </si>
  <si>
    <t>55</t>
  </si>
  <si>
    <t>2.96</t>
  </si>
  <si>
    <t>2.46</t>
  </si>
  <si>
    <t>383</t>
  </si>
  <si>
    <t>f.27</t>
  </si>
  <si>
    <t>butterwk@cop.ufl.edu</t>
  </si>
  <si>
    <t>70diam</t>
  </si>
  <si>
    <t>C57BL/6</t>
  </si>
  <si>
    <t>15.9</t>
  </si>
  <si>
    <t>388</t>
  </si>
  <si>
    <t>f.29</t>
  </si>
  <si>
    <t>shofiul_azam@hotmail.com</t>
  </si>
  <si>
    <t>0.5m2x50</t>
  </si>
  <si>
    <t>1.57</t>
  </si>
  <si>
    <t>0.68</t>
  </si>
  <si>
    <t>402</t>
  </si>
  <si>
    <t>f.37</t>
  </si>
  <si>
    <t>gprauniar@hotmail.com</t>
  </si>
  <si>
    <t>40x40x30</t>
  </si>
  <si>
    <t>3.2286854910319152</t>
  </si>
  <si>
    <t>14.151192529253496</t>
  </si>
  <si>
    <t>409</t>
  </si>
  <si>
    <t>f.42</t>
  </si>
  <si>
    <t>YingJiaSPU@163.com</t>
  </si>
  <si>
    <t>KunMing</t>
  </si>
  <si>
    <t>1.74</t>
  </si>
  <si>
    <t>2.35</t>
  </si>
  <si>
    <t>Kunming</t>
  </si>
  <si>
    <t>425</t>
  </si>
  <si>
    <t>f.50</t>
  </si>
  <si>
    <t>firoz_anwar2000@yahoo.com</t>
  </si>
  <si>
    <t>1.58</t>
  </si>
  <si>
    <t>1.36</t>
  </si>
  <si>
    <t>517</t>
  </si>
  <si>
    <t>ldb.37</t>
  </si>
  <si>
    <t>shvetankbhatt@gmail.com</t>
  </si>
  <si>
    <t>60x60x30</t>
  </si>
  <si>
    <t>4.08</t>
  </si>
  <si>
    <t>5.09</t>
  </si>
  <si>
    <t>571</t>
  </si>
  <si>
    <t>ldb.51</t>
  </si>
  <si>
    <t>diameter: 30</t>
  </si>
  <si>
    <t>8.17</t>
  </si>
  <si>
    <t>9.77</t>
  </si>
  <si>
    <t>601</t>
  </si>
  <si>
    <t>ldb.66</t>
  </si>
  <si>
    <t>xico@icb.ufg.br</t>
  </si>
  <si>
    <t>diameter: 36</t>
  </si>
  <si>
    <t>6.05</t>
  </si>
  <si>
    <t>8.06</t>
  </si>
  <si>
    <t>621</t>
  </si>
  <si>
    <t>ldb.78</t>
  </si>
  <si>
    <t>vrk@unife.it</t>
  </si>
  <si>
    <t>22.5</t>
  </si>
  <si>
    <t>40 x 40</t>
  </si>
  <si>
    <t>10.5</t>
  </si>
  <si>
    <t>12.33</t>
  </si>
  <si>
    <t>684</t>
  </si>
  <si>
    <t>ldb.113</t>
  </si>
  <si>
    <t>guojy@psych.ac.cn</t>
  </si>
  <si>
    <t>60 x 60</t>
  </si>
  <si>
    <t>ICR</t>
  </si>
  <si>
    <t>chronic</t>
  </si>
  <si>
    <t>5.39</t>
  </si>
  <si>
    <t>3.18</t>
  </si>
  <si>
    <t>714</t>
  </si>
  <si>
    <t>ldb.129</t>
  </si>
  <si>
    <t>26</t>
  </si>
  <si>
    <t>30 x 30</t>
  </si>
  <si>
    <t>2.56</t>
  </si>
  <si>
    <t>2.36</t>
  </si>
  <si>
    <t>755</t>
  </si>
  <si>
    <t>ldb.145</t>
  </si>
  <si>
    <t>rivmendes@hotmail.com</t>
  </si>
  <si>
    <t>28</t>
  </si>
  <si>
    <t>Swiss Albino</t>
  </si>
  <si>
    <t>11</t>
  </si>
  <si>
    <t>1.19</t>
  </si>
  <si>
    <t>0.96</t>
  </si>
  <si>
    <t>791</t>
  </si>
  <si>
    <t>ldb.155</t>
  </si>
  <si>
    <t>cibis herj@yahoo.com.mx</t>
  </si>
  <si>
    <t>16.783179451462704</t>
  </si>
  <si>
    <t>11.787470042379748</t>
  </si>
  <si>
    <t>798</t>
  </si>
  <si>
    <t>ldb.156</t>
  </si>
  <si>
    <t>mm_nasik@yahoo.co.in</t>
  </si>
  <si>
    <t>96 x 96</t>
  </si>
  <si>
    <t>Albino</t>
  </si>
  <si>
    <t>5.53</t>
  </si>
  <si>
    <t>8.6</t>
  </si>
  <si>
    <t>803</t>
  </si>
  <si>
    <t>ldb.157</t>
  </si>
  <si>
    <t>moniruzzaman.babu@yahoo.com</t>
  </si>
  <si>
    <t>4.31</t>
  </si>
  <si>
    <t>2.13</t>
  </si>
  <si>
    <t>819</t>
  </si>
  <si>
    <t>ldb.161</t>
  </si>
  <si>
    <t>ajakindele@cmul.edu.ng</t>
  </si>
  <si>
    <t>50 x 50</t>
  </si>
  <si>
    <t>9.9</t>
  </si>
  <si>
    <t>6.06</t>
  </si>
  <si>
    <t>875</t>
  </si>
  <si>
    <t>ldb.183</t>
  </si>
  <si>
    <t>shivkumarhugar@yahoo.com </t>
  </si>
  <si>
    <t>2.51</t>
  </si>
  <si>
    <t>5.32</t>
  </si>
  <si>
    <t>937</t>
  </si>
  <si>
    <t>ldb.195</t>
  </si>
  <si>
    <t>nikoradulovic@yahoo.com</t>
  </si>
  <si>
    <t>6.38</t>
  </si>
  <si>
    <t>1005</t>
  </si>
  <si>
    <t>g.1</t>
  </si>
  <si>
    <t>3.8</t>
  </si>
  <si>
    <t>6.1</t>
  </si>
  <si>
    <t>1008</t>
  </si>
  <si>
    <t>g.10</t>
  </si>
  <si>
    <t>atiar@cu.ac.bd</t>
  </si>
  <si>
    <t>55.5</t>
  </si>
  <si>
    <t>50x50x40</t>
  </si>
  <si>
    <t>6.5</t>
  </si>
  <si>
    <t>1.75</t>
  </si>
  <si>
    <t>2.8</t>
  </si>
  <si>
    <t>1028</t>
  </si>
  <si>
    <t>g.23</t>
  </si>
  <si>
    <t>irineiapaulina@hotmail.com</t>
  </si>
  <si>
    <t>30x30x17</t>
  </si>
  <si>
    <t>1033</t>
  </si>
  <si>
    <t>g.25</t>
  </si>
  <si>
    <t>adeoluwaolusegun@yahoo.com</t>
  </si>
  <si>
    <t>28x28x25</t>
  </si>
  <si>
    <t>6.83</t>
  </si>
  <si>
    <t>1.5199999999999996</t>
  </si>
  <si>
    <t>1037</t>
  </si>
  <si>
    <t>g.27</t>
  </si>
  <si>
    <t>anilakumarkr@gmail.com</t>
  </si>
  <si>
    <t>56x56</t>
  </si>
  <si>
    <t>4.9806291436591286</t>
  </si>
  <si>
    <t>5.0214539727055154</t>
  </si>
  <si>
    <t>1048</t>
  </si>
  <si>
    <t>g.38</t>
  </si>
  <si>
    <t>workineh.shibeshi@aau.edu.et</t>
  </si>
  <si>
    <t>68x68x45</t>
  </si>
  <si>
    <t>9.56</t>
  </si>
  <si>
    <t>11.4</t>
  </si>
  <si>
    <t>1053</t>
  </si>
  <si>
    <t>g.41</t>
  </si>
  <si>
    <t>bamit@oauife.edu.ng</t>
  </si>
  <si>
    <t>4.8399999999999963</t>
  </si>
  <si>
    <t>1057</t>
  </si>
  <si>
    <t>g.43</t>
  </si>
  <si>
    <t>rafik_ruph@yahoo.com</t>
  </si>
  <si>
    <t>3.3</t>
  </si>
  <si>
    <t>1066</t>
  </si>
  <si>
    <t>g.44</t>
  </si>
  <si>
    <t>Department of Pharmacology, Gauhati Medical College &amp; Hospital</t>
  </si>
  <si>
    <t>1.1499999999999999</t>
  </si>
  <si>
    <t>2.0299999999999998</t>
  </si>
  <si>
    <t>1077</t>
  </si>
  <si>
    <t>g.46</t>
  </si>
  <si>
    <t>eva_aguirre@ciencias.unam.mx</t>
  </si>
  <si>
    <t>45</t>
  </si>
  <si>
    <t>2.509999999999998</t>
  </si>
  <si>
    <t>5.37</t>
  </si>
  <si>
    <t>1097</t>
  </si>
  <si>
    <t>g.5</t>
  </si>
  <si>
    <t>19.309999999999999</t>
  </si>
  <si>
    <t>34.93</t>
  </si>
  <si>
    <t>1109</t>
  </si>
  <si>
    <t>g.8</t>
  </si>
  <si>
    <t>adebee738@yahoo.co.uk</t>
  </si>
  <si>
    <t>1.28</t>
  </si>
  <si>
    <t>3.59</t>
  </si>
  <si>
    <t>1118</t>
  </si>
  <si>
    <t>h.13</t>
  </si>
  <si>
    <t>kundansngh@hotmail.com</t>
  </si>
  <si>
    <t>10.42</t>
  </si>
  <si>
    <t>28.01</t>
  </si>
  <si>
    <t>1123</t>
  </si>
  <si>
    <t>h.16</t>
  </si>
  <si>
    <t>amina aumona@yahoo.com</t>
  </si>
  <si>
    <t>0.99</t>
  </si>
  <si>
    <t>1.4</t>
  </si>
  <si>
    <t>1141</t>
  </si>
  <si>
    <t>h.29</t>
  </si>
  <si>
    <t>lnsun888@126.com</t>
  </si>
  <si>
    <t>60x60x25</t>
  </si>
  <si>
    <t>KM</t>
  </si>
  <si>
    <t>1149</t>
  </si>
  <si>
    <t>h.34</t>
  </si>
  <si>
    <t>gtngoupaye@gmail.com</t>
  </si>
  <si>
    <t>40x40x45</t>
  </si>
  <si>
    <t>2.5</t>
  </si>
  <si>
    <t>1171</t>
  </si>
  <si>
    <t>h.44</t>
  </si>
  <si>
    <t>fharquins@gmail.com</t>
  </si>
  <si>
    <t>72x72x36</t>
  </si>
  <si>
    <t>7.97</t>
  </si>
  <si>
    <t>2.5400000000000009</t>
  </si>
  <si>
    <t>1173</t>
  </si>
  <si>
    <t>h.45</t>
  </si>
  <si>
    <t>1.98</t>
  </si>
  <si>
    <t>7.61</t>
  </si>
  <si>
    <t>1199</t>
  </si>
  <si>
    <t>i.15</t>
  </si>
  <si>
    <t>marzina-ajrin@hotmail.com</t>
  </si>
  <si>
    <t>18.339999999999996</t>
  </si>
  <si>
    <t>24.629999999999995</t>
  </si>
  <si>
    <t>1200</t>
  </si>
  <si>
    <t>i.17</t>
  </si>
  <si>
    <t>albertpi@ariel.ac.il</t>
  </si>
  <si>
    <t>185</t>
  </si>
  <si>
    <t>30x40</t>
  </si>
  <si>
    <t>Sabra</t>
  </si>
  <si>
    <t>14.280000000000001</t>
  </si>
  <si>
    <t>36.729999999999997</t>
  </si>
  <si>
    <t>1202</t>
  </si>
  <si>
    <t>i.19</t>
  </si>
  <si>
    <t>2.58</t>
  </si>
  <si>
    <t>2.4900000000000002</t>
  </si>
  <si>
    <t>1216</t>
  </si>
  <si>
    <t>i.24</t>
  </si>
  <si>
    <t>gbviana@live.com</t>
  </si>
  <si>
    <t>19</t>
  </si>
  <si>
    <t>1.9</t>
  </si>
  <si>
    <t>1.3</t>
  </si>
  <si>
    <t>1218</t>
  </si>
  <si>
    <t>i.28</t>
  </si>
  <si>
    <t>dr_mlahkar@rediffmail.com</t>
  </si>
  <si>
    <t>100x100x30</t>
  </si>
  <si>
    <t>3.67</t>
  </si>
  <si>
    <t>1243</t>
  </si>
  <si>
    <t>i.44</t>
  </si>
  <si>
    <t>40x40</t>
  </si>
  <si>
    <t>2.2400000000000002</t>
  </si>
  <si>
    <t>9.68</t>
  </si>
  <si>
    <t>1253</t>
  </si>
  <si>
    <t>i.8</t>
  </si>
  <si>
    <t>d.beracochea@neurocog.u-bordeaux.fr</t>
  </si>
  <si>
    <t>600</t>
  </si>
  <si>
    <t>120x120</t>
  </si>
  <si>
    <t>Balb/c</t>
  </si>
  <si>
    <t>42</t>
  </si>
  <si>
    <t>22.2</t>
  </si>
  <si>
    <t>1259</t>
  </si>
  <si>
    <t>j.16</t>
  </si>
  <si>
    <t>nnathbiswas@gmail.com</t>
  </si>
  <si>
    <t>100x100</t>
  </si>
  <si>
    <t>1.5</t>
  </si>
  <si>
    <t>0.84</t>
  </si>
  <si>
    <t>1272</t>
  </si>
  <si>
    <t>j.27</t>
  </si>
  <si>
    <t>School of Clinical Sciences, Queensland University of Technology, Brisbane, Australia</t>
  </si>
  <si>
    <t>11.32</t>
  </si>
  <si>
    <t>40.15</t>
  </si>
  <si>
    <t>1277</t>
  </si>
  <si>
    <t>j.28</t>
  </si>
  <si>
    <t>rnkishore.sm24@gmail.com</t>
  </si>
  <si>
    <t>50x50x10</t>
  </si>
  <si>
    <t>2.1</t>
  </si>
  <si>
    <t>3.6</t>
  </si>
  <si>
    <t>1324</t>
  </si>
  <si>
    <t>j.8</t>
  </si>
  <si>
    <t>blockstar@hanmail.net</t>
  </si>
  <si>
    <t>60x60x20</t>
  </si>
  <si>
    <t>6.44</t>
  </si>
  <si>
    <t>3.56</t>
  </si>
  <si>
    <t>1346</t>
  </si>
  <si>
    <t>k.3</t>
  </si>
  <si>
    <t>mlformig@psicobio.epm.br</t>
  </si>
  <si>
    <t>100diamx50</t>
  </si>
  <si>
    <t>1352</t>
  </si>
  <si>
    <t>k.34</t>
  </si>
  <si>
    <t>imh5c@virginia.edu</t>
  </si>
  <si>
    <t>5.64</t>
  </si>
  <si>
    <t>2.2599999999999998</t>
  </si>
  <si>
    <t>1359</t>
  </si>
  <si>
    <t>k.39</t>
  </si>
  <si>
    <t>11.35</t>
  </si>
  <si>
    <t>39.72</t>
  </si>
  <si>
    <t>1379</t>
  </si>
  <si>
    <t>l.10</t>
  </si>
  <si>
    <t>rashidma@du.ac.bd.</t>
  </si>
  <si>
    <t>27</t>
  </si>
  <si>
    <t>4.97</t>
  </si>
  <si>
    <t>1.41</t>
  </si>
  <si>
    <t>1394</t>
  </si>
  <si>
    <t>l.19</t>
  </si>
  <si>
    <t>ioyemitan@wsu.ac.za</t>
  </si>
  <si>
    <t>Swiss-webster</t>
  </si>
  <si>
    <t>3.09</t>
  </si>
  <si>
    <t>1.1299999999999999</t>
  </si>
  <si>
    <t>1428</t>
  </si>
  <si>
    <t>l.40</t>
  </si>
  <si>
    <t>10.41</t>
  </si>
  <si>
    <t>6.76</t>
  </si>
  <si>
    <t>1436</t>
  </si>
  <si>
    <t>l.43</t>
  </si>
  <si>
    <t>moc.liamg@48ardnehammanoop</t>
  </si>
  <si>
    <t>6.52</t>
  </si>
  <si>
    <t>5.07</t>
  </si>
  <si>
    <t>1446</t>
  </si>
  <si>
    <t>l.8</t>
  </si>
  <si>
    <t>martareginakerntopfm@outlook.com</t>
  </si>
  <si>
    <t>2.0099999999999998</t>
  </si>
  <si>
    <t>1477</t>
  </si>
  <si>
    <t>m.39</t>
  </si>
  <si>
    <t>16.2</t>
  </si>
  <si>
    <t>1486</t>
  </si>
  <si>
    <t>m.7</t>
  </si>
  <si>
    <t>meenakshibawari@yahoo.co.in</t>
  </si>
  <si>
    <t>45x25</t>
  </si>
  <si>
    <t>4.43</t>
  </si>
  <si>
    <t>3.73</t>
  </si>
  <si>
    <t>1497</t>
  </si>
  <si>
    <t>n.12</t>
  </si>
  <si>
    <t>kasture_sb@hotmail.com</t>
  </si>
  <si>
    <t>96x96x5</t>
  </si>
  <si>
    <t>6.8</t>
  </si>
  <si>
    <t>1505</t>
  </si>
  <si>
    <t>n.18</t>
  </si>
  <si>
    <t>shujitchandrapaul@gmail.com</t>
  </si>
  <si>
    <t>10.94</t>
  </si>
  <si>
    <t>2.91</t>
  </si>
  <si>
    <t>1521</t>
  </si>
  <si>
    <t>n.24</t>
  </si>
  <si>
    <t>pharmariaz@gmail.com</t>
  </si>
  <si>
    <t>76x76x42</t>
  </si>
  <si>
    <t>10.25</t>
  </si>
  <si>
    <t>0</t>
  </si>
  <si>
    <t>1547</t>
  </si>
  <si>
    <t>n.33</t>
  </si>
  <si>
    <t>malamisani@gmail.com</t>
  </si>
  <si>
    <t>7.46</t>
  </si>
  <si>
    <t>29.6</t>
  </si>
  <si>
    <t>1567</t>
  </si>
  <si>
    <t>n.44</t>
  </si>
  <si>
    <t>herbalist53@yahoo.com, mehjbn1@gmail.com</t>
  </si>
  <si>
    <t>3.97</t>
  </si>
  <si>
    <t>0.83</t>
  </si>
  <si>
    <t>1596</t>
  </si>
  <si>
    <t>o.12</t>
  </si>
  <si>
    <t>ketchawanda@yahoo.com</t>
  </si>
  <si>
    <t>9.14</t>
  </si>
  <si>
    <t>1616</t>
  </si>
  <si>
    <t>o.21</t>
  </si>
  <si>
    <t>stock colony (Defence Food Research Lab, Mysore, India)</t>
  </si>
  <si>
    <t>6.4054156773780111</t>
  </si>
  <si>
    <t>17.383212207951289</t>
  </si>
  <si>
    <t>1685</t>
  </si>
  <si>
    <t>o.44</t>
  </si>
  <si>
    <t>michel.bourin@univ-nantes.fr</t>
  </si>
  <si>
    <t>18</t>
  </si>
  <si>
    <t>27x22x11</t>
  </si>
  <si>
    <t>15.16</t>
  </si>
  <si>
    <t>17.17</t>
  </si>
  <si>
    <t>1690</t>
  </si>
  <si>
    <t>o.46</t>
  </si>
  <si>
    <t>10.8</t>
  </si>
  <si>
    <t>1703</t>
  </si>
  <si>
    <t>o.6</t>
  </si>
  <si>
    <t>ajakindele@cmul.edu.ng, jakindele@unilag.edu.ng</t>
  </si>
  <si>
    <t>75</t>
  </si>
  <si>
    <t>4.09</t>
  </si>
  <si>
    <t>25.63</t>
  </si>
  <si>
    <t>1744</t>
  </si>
  <si>
    <t>p.13</t>
  </si>
  <si>
    <t>1748</t>
  </si>
  <si>
    <t>p.14</t>
  </si>
  <si>
    <t>rejonjose@hotmail.com</t>
  </si>
  <si>
    <t>48x48x30</t>
  </si>
  <si>
    <t>35</t>
  </si>
  <si>
    <t>5.3</t>
  </si>
  <si>
    <t>24.7</t>
  </si>
  <si>
    <t>1757</t>
  </si>
  <si>
    <t>p.18</t>
  </si>
  <si>
    <t>7.6</t>
  </si>
  <si>
    <t>1762</t>
  </si>
  <si>
    <t>p.20</t>
  </si>
  <si>
    <t>2.61</t>
  </si>
  <si>
    <t>49.53</t>
  </si>
  <si>
    <t>1772</t>
  </si>
  <si>
    <t>p.30</t>
  </si>
  <si>
    <t>pharmben4ever@yahoo.com</t>
  </si>
  <si>
    <t>1785</t>
  </si>
  <si>
    <t>p.38</t>
  </si>
  <si>
    <t>12.809239341194306</t>
  </si>
  <si>
    <t>11.05561452385167</t>
  </si>
  <si>
    <t>1794</t>
  </si>
  <si>
    <t>p.43</t>
  </si>
  <si>
    <t>1825</t>
  </si>
  <si>
    <t>p.9</t>
  </si>
  <si>
    <t>rivmendes@hotmail.com; rivelilson@pq.cnpq.br</t>
  </si>
  <si>
    <t>2.81</t>
  </si>
  <si>
    <t>3.22</t>
  </si>
  <si>
    <t>1839</t>
  </si>
  <si>
    <t>q.16</t>
  </si>
  <si>
    <t>Swiss Webstar</t>
  </si>
  <si>
    <t>19.88</t>
  </si>
  <si>
    <t>20.62</t>
  </si>
  <si>
    <t>1848</t>
  </si>
  <si>
    <t>q.20</t>
  </si>
  <si>
    <t>hossen.pharmacy@cu.ac.bd</t>
  </si>
  <si>
    <t>30x50x27</t>
  </si>
  <si>
    <t>2.08</t>
  </si>
  <si>
    <t>1873</t>
  </si>
  <si>
    <t>q.37</t>
  </si>
  <si>
    <t>1.42</t>
  </si>
  <si>
    <t>1.27</t>
  </si>
  <si>
    <t>1887</t>
  </si>
  <si>
    <t>q.45</t>
  </si>
  <si>
    <t>gibironk@yahoo.com</t>
  </si>
  <si>
    <t>36x36x26</t>
  </si>
  <si>
    <t>5.51</t>
  </si>
  <si>
    <t>1904</t>
  </si>
  <si>
    <t>r.11</t>
  </si>
  <si>
    <t>Department of Pharmacology, Sree Siddaganga College of Pharmacy</t>
  </si>
  <si>
    <t>6.57</t>
  </si>
  <si>
    <t>21.22</t>
  </si>
  <si>
    <t>1918</t>
  </si>
  <si>
    <t>r.19</t>
  </si>
  <si>
    <t>msofidiya@unilag.edu.ng</t>
  </si>
  <si>
    <t>8.8000000000000007</t>
  </si>
  <si>
    <t>1953</t>
  </si>
  <si>
    <t>r.39</t>
  </si>
  <si>
    <t>hxue@ust.hk</t>
  </si>
  <si>
    <t>60x60x12</t>
  </si>
  <si>
    <t>16</t>
  </si>
  <si>
    <t>10.43</t>
  </si>
  <si>
    <t>15.65</t>
  </si>
  <si>
    <t>1966</t>
  </si>
  <si>
    <t>r.45</t>
  </si>
  <si>
    <t>5.1</t>
  </si>
  <si>
    <t>11.6</t>
  </si>
  <si>
    <t>1989</t>
  </si>
  <si>
    <t>s.12</t>
  </si>
  <si>
    <t>ritacassia.sa@bol.com.br</t>
  </si>
  <si>
    <t>55diam</t>
  </si>
  <si>
    <t>6.94</t>
  </si>
  <si>
    <t>11.820000000000007</t>
  </si>
  <si>
    <t>1998</t>
  </si>
  <si>
    <t>s.18</t>
  </si>
  <si>
    <t>clea@ufc.br.</t>
  </si>
  <si>
    <t>4.66</t>
  </si>
  <si>
    <t>2001</t>
  </si>
  <si>
    <t>s.20</t>
  </si>
  <si>
    <t>ruckmani.nirmal@gmail.com</t>
  </si>
  <si>
    <t>2012</t>
  </si>
  <si>
    <t>s.23</t>
  </si>
  <si>
    <t>0.5</t>
  </si>
  <si>
    <t>5.34</t>
  </si>
  <si>
    <t>1.49</t>
  </si>
  <si>
    <t>2025</t>
  </si>
  <si>
    <t>s.33</t>
  </si>
  <si>
    <t>30x27x30</t>
  </si>
  <si>
    <t>9.6</t>
  </si>
  <si>
    <t>9.3000000000000007</t>
  </si>
  <si>
    <t>2093</t>
  </si>
  <si>
    <t>t.27</t>
  </si>
  <si>
    <t>mbourin@sante.univ-nantes.fr</t>
  </si>
  <si>
    <t>4</t>
  </si>
  <si>
    <t>12.6</t>
  </si>
  <si>
    <t>2098</t>
  </si>
  <si>
    <t>t.3</t>
  </si>
  <si>
    <t>Osorio@roadnet.com.br</t>
  </si>
  <si>
    <t>4.07</t>
  </si>
  <si>
    <t>4.7</t>
  </si>
  <si>
    <t>2123</t>
  </si>
  <si>
    <t>t.37</t>
  </si>
  <si>
    <t>gfolefoc@yahoo.com</t>
  </si>
  <si>
    <t>2.0779837984610627</t>
  </si>
  <si>
    <t>2.2290356659326953</t>
  </si>
  <si>
    <t>2130</t>
  </si>
  <si>
    <t>t.39</t>
  </si>
  <si>
    <t>ghiasuddin@upesh.edu.pk, drghiasuddin@hotmail.com</t>
  </si>
  <si>
    <t>0.98</t>
  </si>
  <si>
    <t>0.11</t>
  </si>
  <si>
    <t>2138</t>
  </si>
  <si>
    <t>t.49</t>
  </si>
  <si>
    <t>pmpf@ufpi.edu.br</t>
  </si>
  <si>
    <t>6.7700000000000102</t>
  </si>
  <si>
    <t>3.61</t>
  </si>
  <si>
    <t>2140</t>
  </si>
  <si>
    <t>t.8</t>
  </si>
  <si>
    <t>12.8</t>
  </si>
  <si>
    <t>8.4</t>
  </si>
  <si>
    <t>2162</t>
  </si>
  <si>
    <t>u.22</t>
  </si>
  <si>
    <t>School of Pharmaceutical Sciences, University Science Malaysa</t>
  </si>
  <si>
    <t>single</t>
  </si>
  <si>
    <t>70</t>
  </si>
  <si>
    <t>10.199999999999999</t>
  </si>
  <si>
    <t>6.3</t>
  </si>
  <si>
    <t>2175</t>
  </si>
  <si>
    <t>u.28</t>
  </si>
  <si>
    <t>3.69</t>
  </si>
  <si>
    <t>2180</t>
  </si>
  <si>
    <t>u.31</t>
  </si>
  <si>
    <t>adaobiezike@yahoo.ca</t>
  </si>
  <si>
    <t>12.4</t>
  </si>
  <si>
    <t>2181</t>
  </si>
  <si>
    <t>u.33</t>
  </si>
  <si>
    <t>rashidma@du.ac.bd</t>
  </si>
  <si>
    <t>45x45x20</t>
  </si>
  <si>
    <t>2.95</t>
  </si>
  <si>
    <t>2.12</t>
  </si>
  <si>
    <t>2197</t>
  </si>
  <si>
    <t>v.1</t>
  </si>
  <si>
    <t>Thomas-Seale@uokhsc.edu.</t>
  </si>
  <si>
    <t>60diam</t>
  </si>
  <si>
    <t>C57bl/6</t>
  </si>
  <si>
    <t>53</t>
  </si>
  <si>
    <t>2216</t>
  </si>
  <si>
    <t>v.32</t>
  </si>
  <si>
    <t>rmmwoliveira@uem.br</t>
  </si>
  <si>
    <t>45x45x30</t>
  </si>
  <si>
    <t>2.9</t>
  </si>
  <si>
    <t>2220</t>
  </si>
  <si>
    <t>v.33</t>
  </si>
  <si>
    <t>bashwani@pu.ac.in</t>
  </si>
  <si>
    <t>80.5diamx37</t>
  </si>
  <si>
    <t>Laca</t>
  </si>
  <si>
    <t>4.76</t>
  </si>
  <si>
    <t>2240</t>
  </si>
  <si>
    <t>v.44</t>
  </si>
  <si>
    <t>Neuropharmacology Laboratory, Department of Pharmacology, Institute of Medical Sciences, Banaras Hindu University, Varanasi, India</t>
  </si>
  <si>
    <t>96x96</t>
  </si>
  <si>
    <t>Wistar</t>
  </si>
  <si>
    <t>14.8</t>
  </si>
  <si>
    <t>18.8</t>
  </si>
  <si>
    <t>2263</t>
  </si>
  <si>
    <t>v.9</t>
  </si>
  <si>
    <t>4.5999999999999996</t>
  </si>
  <si>
    <t>2288</t>
  </si>
  <si>
    <t>w.24</t>
  </si>
  <si>
    <t>evag@imp.edu.mx</t>
  </si>
  <si>
    <t>Swiss webster</t>
  </si>
  <si>
    <t>5.59</t>
  </si>
  <si>
    <t>2314</t>
  </si>
  <si>
    <t>w.44</t>
  </si>
  <si>
    <t>research_safiq@yahoo.com</t>
  </si>
  <si>
    <t>8.73</t>
  </si>
  <si>
    <t>10.01</t>
  </si>
  <si>
    <t>2316</t>
  </si>
  <si>
    <t>w.45</t>
  </si>
  <si>
    <t>shalam26@yahoo.co.in</t>
  </si>
  <si>
    <t>9.2799999999999994</t>
  </si>
  <si>
    <t>7.14</t>
  </si>
  <si>
    <t>2330</t>
  </si>
  <si>
    <t>x.13</t>
  </si>
  <si>
    <t>Department of Pharmacology, Bharati Vidyapeeth, Deemed University, Poona College of Pharmacy, Erandwane, Pune - 411 038, India</t>
  </si>
  <si>
    <t>2.09</t>
  </si>
  <si>
    <t>7.84</t>
  </si>
  <si>
    <t>2375</t>
  </si>
  <si>
    <t>y.12</t>
  </si>
  <si>
    <t>jameelyau@yahoo.com</t>
  </si>
  <si>
    <t>4.4800000000000004</t>
  </si>
  <si>
    <t>13.16</t>
  </si>
  <si>
    <t>2385</t>
  </si>
  <si>
    <t>y.20</t>
  </si>
  <si>
    <t>4.730000000000004</t>
  </si>
  <si>
    <t>4.7299999999999898</t>
  </si>
  <si>
    <t>2393</t>
  </si>
  <si>
    <t>y.26</t>
  </si>
  <si>
    <t>claussil@bol.com.br</t>
  </si>
  <si>
    <t>2404</t>
  </si>
  <si>
    <t>y.35</t>
  </si>
  <si>
    <t>drcharlesokoli@yahoo.com</t>
  </si>
  <si>
    <t>5.0199999999999996</t>
  </si>
  <si>
    <t>3.19</t>
  </si>
  <si>
    <t>2425</t>
  </si>
  <si>
    <t>y.43</t>
  </si>
  <si>
    <t>basavaraj.pujar@rediffmail.com</t>
  </si>
  <si>
    <t>2.2000000000000002</t>
  </si>
  <si>
    <t>2430</t>
  </si>
  <si>
    <t>y.47</t>
  </si>
  <si>
    <t>5.9</t>
  </si>
  <si>
    <t>5.45</t>
  </si>
  <si>
    <t>2467</t>
  </si>
  <si>
    <t>ldb.199</t>
  </si>
  <si>
    <t>2483</t>
  </si>
  <si>
    <t>ldb.205</t>
  </si>
  <si>
    <t>sbanerjee@bitmesra.ac.in</t>
  </si>
  <si>
    <t>4.83</t>
  </si>
  <si>
    <t>5.91</t>
  </si>
  <si>
    <t>2494</t>
  </si>
  <si>
    <t>u.5</t>
  </si>
  <si>
    <t>BL6/C57J</t>
  </si>
  <si>
    <t>7.5</t>
  </si>
  <si>
    <t>2496</t>
  </si>
  <si>
    <t>u.7</t>
  </si>
  <si>
    <t>zafarimam@gmail.com</t>
  </si>
  <si>
    <t>57.5</t>
  </si>
  <si>
    <t>3.269999999999996</t>
  </si>
  <si>
    <t>2.1800000000000033</t>
  </si>
  <si>
    <t>280</t>
  </si>
  <si>
    <t>d.41</t>
  </si>
  <si>
    <t>mostafa@pharm.iiuc.ac.bd</t>
  </si>
  <si>
    <t>0.5m3</t>
  </si>
  <si>
    <t>4.34</t>
  </si>
  <si>
    <t>3.39</t>
  </si>
  <si>
    <t>59</t>
  </si>
  <si>
    <t>HBT</t>
  </si>
  <si>
    <t>hd</t>
  </si>
  <si>
    <t>b.5</t>
  </si>
  <si>
    <t>increase</t>
  </si>
  <si>
    <t>62</t>
  </si>
  <si>
    <t>5.17</t>
  </si>
  <si>
    <t>6.82</t>
  </si>
  <si>
    <t>88</t>
  </si>
  <si>
    <t>b.25</t>
  </si>
  <si>
    <t>Bharati Vidyapeeth's College of Pharmacy, Navi Mumbai - 400614, India</t>
  </si>
  <si>
    <t>BALB/c albino</t>
  </si>
  <si>
    <t>4.24</t>
  </si>
  <si>
    <t>1.99</t>
  </si>
  <si>
    <t>95</t>
  </si>
  <si>
    <t>b.32</t>
  </si>
  <si>
    <t>restrada@imp.edu.mx</t>
  </si>
  <si>
    <t>20.5</t>
  </si>
  <si>
    <t>Swiss-Webster</t>
  </si>
  <si>
    <t>4.54</t>
  </si>
  <si>
    <t>2.41</t>
  </si>
  <si>
    <t>c.40</t>
  </si>
  <si>
    <t>College of Health Sciences, Kwame Nkrumah University of Science and Technology, Kumasi, Ghana</t>
  </si>
  <si>
    <t>5.68</t>
  </si>
  <si>
    <t>7.65</t>
  </si>
  <si>
    <t>190</t>
  </si>
  <si>
    <t>c.43</t>
  </si>
  <si>
    <t>rkhemamalini@gmail.com</t>
  </si>
  <si>
    <t>1.84</t>
  </si>
  <si>
    <t>2.85</t>
  </si>
  <si>
    <t>decrease</t>
  </si>
  <si>
    <t>202</t>
  </si>
  <si>
    <t>c.49</t>
  </si>
  <si>
    <t>niloysen91@gmail.com</t>
  </si>
  <si>
    <t>1.6</t>
  </si>
  <si>
    <t>223</t>
  </si>
  <si>
    <t>0.8</t>
  </si>
  <si>
    <t>0.87</t>
  </si>
  <si>
    <t>267</t>
  </si>
  <si>
    <t>d.30</t>
  </si>
  <si>
    <t>a-saitoh@hoshi.ac.jp</t>
  </si>
  <si>
    <t>40</t>
  </si>
  <si>
    <t>sc</t>
  </si>
  <si>
    <t>279</t>
  </si>
  <si>
    <t>0.56000000000000005</t>
  </si>
  <si>
    <t>1.2</t>
  </si>
  <si>
    <t>311</t>
  </si>
  <si>
    <t>e.8</t>
  </si>
  <si>
    <t>jhryu63@khu.ac.kr</t>
  </si>
  <si>
    <t>3.25</t>
  </si>
  <si>
    <t>0.93</t>
  </si>
  <si>
    <t>313</t>
  </si>
  <si>
    <t>e.10</t>
  </si>
  <si>
    <t>rkhan1959@gmail.com</t>
  </si>
  <si>
    <t>0.61</t>
  </si>
  <si>
    <t>351</t>
  </si>
  <si>
    <t>e.49</t>
  </si>
  <si>
    <t>ozgurdt@anadolu.edu.tr</t>
  </si>
  <si>
    <t>1.1399999999999999</t>
  </si>
  <si>
    <t>387</t>
  </si>
  <si>
    <t>f.28</t>
  </si>
  <si>
    <t>jasmin.nstu.pharma@gmail.com</t>
  </si>
  <si>
    <t>13</t>
  </si>
  <si>
    <t>442</t>
  </si>
  <si>
    <t>ldb.7</t>
  </si>
  <si>
    <t>kawalevl@rediffmail.com</t>
  </si>
  <si>
    <t>2.94</t>
  </si>
  <si>
    <t>1.96</t>
  </si>
  <si>
    <t>537</t>
  </si>
  <si>
    <t>ldb.45</t>
  </si>
  <si>
    <t>chanacin@gmail.com</t>
  </si>
  <si>
    <t>2.4</t>
  </si>
  <si>
    <t>3.87</t>
  </si>
  <si>
    <t>547</t>
  </si>
  <si>
    <t>ldb.47</t>
  </si>
  <si>
    <t>gpalitcdri@gmail.com</t>
  </si>
  <si>
    <t>1.05</t>
  </si>
  <si>
    <t>585</t>
  </si>
  <si>
    <t>ldb.59</t>
  </si>
  <si>
    <t>deepaligupta2010@_x000D_
gmail.com</t>
  </si>
  <si>
    <t>2.22</t>
  </si>
  <si>
    <t>1.32</t>
  </si>
  <si>
    <t>610</t>
  </si>
  <si>
    <t>ldb.70</t>
  </si>
  <si>
    <t>d.zouhra@yahoo.fr</t>
  </si>
  <si>
    <t>1000</t>
  </si>
  <si>
    <t>640</t>
  </si>
  <si>
    <t>ldb.89</t>
  </si>
  <si>
    <t>Albino Swiss</t>
  </si>
  <si>
    <t>2.01</t>
  </si>
  <si>
    <t>670</t>
  </si>
  <si>
    <t>ldb.109</t>
  </si>
  <si>
    <t>deepaligupta2010@gmail.com</t>
  </si>
  <si>
    <t>0.29</t>
  </si>
  <si>
    <t>674</t>
  </si>
  <si>
    <t>ldb.110</t>
  </si>
  <si>
    <t>1.63</t>
  </si>
  <si>
    <t>693</t>
  </si>
  <si>
    <t>ldb.120</t>
  </si>
  <si>
    <t>ishaa25@gmail.com</t>
  </si>
  <si>
    <t>0.82</t>
  </si>
  <si>
    <t>1.62</t>
  </si>
  <si>
    <t>700</t>
  </si>
  <si>
    <t>ldb.122</t>
  </si>
  <si>
    <t>oishola@cmul.edu.ng</t>
  </si>
  <si>
    <t>717</t>
  </si>
  <si>
    <t>ldb.131</t>
  </si>
  <si>
    <t>kumarjindal26@gmail.com</t>
  </si>
  <si>
    <t>0.51</t>
  </si>
  <si>
    <t>1.94</t>
  </si>
  <si>
    <t>725</t>
  </si>
  <si>
    <t>ldb.134</t>
  </si>
  <si>
    <t>nasiara.karim@sydney.edu.au</t>
  </si>
  <si>
    <t>21.5</t>
  </si>
  <si>
    <t>80</t>
  </si>
  <si>
    <t>3.41</t>
  </si>
  <si>
    <t>4.29</t>
  </si>
  <si>
    <t>795</t>
  </si>
  <si>
    <t>1.87</t>
  </si>
  <si>
    <t>807</t>
  </si>
  <si>
    <t>ldb.158</t>
  </si>
  <si>
    <t>shahed.shuvo16@gmail.com</t>
  </si>
  <si>
    <t>0.92</t>
  </si>
  <si>
    <t>0.58</t>
  </si>
  <si>
    <t>815</t>
  </si>
  <si>
    <t>0.37</t>
  </si>
  <si>
    <t>0.4</t>
  </si>
  <si>
    <t>857</t>
  </si>
  <si>
    <t>ldb.177</t>
  </si>
  <si>
    <t>amn2720@gmail.com</t>
  </si>
  <si>
    <t>0.7</t>
  </si>
  <si>
    <t>0.73</t>
  </si>
  <si>
    <t>878</t>
  </si>
  <si>
    <t>ldb.185</t>
  </si>
  <si>
    <t>pablinnyg@yahoo.com.br</t>
  </si>
  <si>
    <t>3.65</t>
  </si>
  <si>
    <t>2.43</t>
  </si>
  <si>
    <t>944</t>
  </si>
  <si>
    <t>ldb.210</t>
  </si>
  <si>
    <t>mamun_nstu@yahoo.com</t>
  </si>
  <si>
    <t>1.02</t>
  </si>
  <si>
    <t>0.74</t>
  </si>
  <si>
    <t>953</t>
  </si>
  <si>
    <t>ldb.220</t>
  </si>
  <si>
    <t>pennapa23@gmail.com</t>
  </si>
  <si>
    <t>0.75262208312007417</t>
  </si>
  <si>
    <t>1.0214156842343864</t>
  </si>
  <si>
    <t>964</t>
  </si>
  <si>
    <t>ldb.232</t>
  </si>
  <si>
    <t>Eric Woode, Department of Pharmacology, Faculty of Pharmacy and Pharmaceutical Sciences, College of Health Science, Kwame Nikrumah University of Science and Technology, Kurmansi, Ghana</t>
  </si>
  <si>
    <t>5.03</t>
  </si>
  <si>
    <t>7.05</t>
  </si>
  <si>
    <t>987</t>
  </si>
  <si>
    <t>ldb.237</t>
  </si>
  <si>
    <t>yashkurhe@gmail.com</t>
  </si>
  <si>
    <t>0.91</t>
  </si>
  <si>
    <t>2.21</t>
  </si>
  <si>
    <t>998</t>
  </si>
  <si>
    <t>ldb.241</t>
  </si>
  <si>
    <t>ishratyounas@gmail.com</t>
  </si>
  <si>
    <t>10.9</t>
  </si>
  <si>
    <t>10.7</t>
  </si>
  <si>
    <t>1032</t>
  </si>
  <si>
    <t>1.79</t>
  </si>
  <si>
    <t>1.2000000000000011</t>
  </si>
  <si>
    <t>1069</t>
  </si>
  <si>
    <t>1091</t>
  </si>
  <si>
    <t>g.49</t>
  </si>
  <si>
    <t>1.53</t>
  </si>
  <si>
    <t>0.62999999999999989</t>
  </si>
  <si>
    <t>1108</t>
  </si>
  <si>
    <t>1.9699999999999989</t>
  </si>
  <si>
    <t>1115</t>
  </si>
  <si>
    <t>h.1</t>
  </si>
  <si>
    <t>apurba2sarker@yahoo.com</t>
  </si>
  <si>
    <t>1.24</t>
  </si>
  <si>
    <t>1122</t>
  </si>
  <si>
    <t>h.15</t>
  </si>
  <si>
    <t>nasirmir@cu.ac.bd</t>
  </si>
  <si>
    <t>0.75</t>
  </si>
  <si>
    <t>1137</t>
  </si>
  <si>
    <t>0.9</t>
  </si>
  <si>
    <t>1205</t>
  </si>
  <si>
    <t>i.21</t>
  </si>
  <si>
    <t>swiss CD1</t>
  </si>
  <si>
    <t>3.33</t>
  </si>
  <si>
    <t>1252</t>
  </si>
  <si>
    <t>i.7</t>
  </si>
  <si>
    <t>ooadeyemi@unilag.edu.ng</t>
  </si>
  <si>
    <t>0.89</t>
  </si>
  <si>
    <t>0.86</t>
  </si>
  <si>
    <t>1258</t>
  </si>
  <si>
    <t>0.71</t>
  </si>
  <si>
    <t>1263</t>
  </si>
  <si>
    <t>j.17</t>
  </si>
  <si>
    <t>nmbb@ufc.br</t>
  </si>
  <si>
    <t>1.01</t>
  </si>
  <si>
    <t>1265</t>
  </si>
  <si>
    <t>j.20</t>
  </si>
  <si>
    <t>1275</t>
  </si>
  <si>
    <t>1.8</t>
  </si>
  <si>
    <t>1326</t>
  </si>
  <si>
    <t>k.11</t>
  </si>
  <si>
    <t>180</t>
  </si>
  <si>
    <t>0.64</t>
  </si>
  <si>
    <t>1334</t>
  </si>
  <si>
    <t>k.17</t>
  </si>
  <si>
    <t>2.27</t>
  </si>
  <si>
    <t>1350</t>
  </si>
  <si>
    <t>1.52</t>
  </si>
  <si>
    <t>1363</t>
  </si>
  <si>
    <t>k.40</t>
  </si>
  <si>
    <t>Grenoble Institute of Neurosciences</t>
  </si>
  <si>
    <t>1.22</t>
  </si>
  <si>
    <t>1.43</t>
  </si>
  <si>
    <t>1392</t>
  </si>
  <si>
    <t>1.59</t>
  </si>
  <si>
    <t>5.33</t>
  </si>
  <si>
    <t>1402</t>
  </si>
  <si>
    <t>l.24</t>
  </si>
  <si>
    <t>manojgoyal620@yahoo.com</t>
  </si>
  <si>
    <t>0.94000000000000128</t>
  </si>
  <si>
    <t>0.93999999999999773</t>
  </si>
  <si>
    <t>1410</t>
  </si>
  <si>
    <t>l.30</t>
  </si>
  <si>
    <t>pharmajakaria@rocketmail.com</t>
  </si>
  <si>
    <t>1470</t>
  </si>
  <si>
    <t>m.38</t>
  </si>
  <si>
    <t>lydia.ayanwuyi@gmail.com</t>
  </si>
  <si>
    <t>1495</t>
  </si>
  <si>
    <t>2.5499999999999998</t>
  </si>
  <si>
    <t>3.55</t>
  </si>
  <si>
    <t>1498</t>
  </si>
  <si>
    <t>n.14</t>
  </si>
  <si>
    <t>thirukumaresan70@yahoo.com</t>
  </si>
  <si>
    <t>2.48</t>
  </si>
  <si>
    <t>1544</t>
  </si>
  <si>
    <t>1.35</t>
  </si>
  <si>
    <t>1.26</t>
  </si>
  <si>
    <t>1551</t>
  </si>
  <si>
    <t>n.34</t>
  </si>
  <si>
    <t>12.56</t>
  </si>
  <si>
    <t>12.49</t>
  </si>
  <si>
    <t>1565</t>
  </si>
  <si>
    <t>1681</t>
  </si>
  <si>
    <t>o.42</t>
  </si>
  <si>
    <t>Instituto de Biologia Celular, Facultad de Medicina, UBA, Bs. As., Argentina</t>
  </si>
  <si>
    <t>CF1</t>
  </si>
  <si>
    <t>1.04</t>
  </si>
  <si>
    <t>0.88</t>
  </si>
  <si>
    <t>1701</t>
  </si>
  <si>
    <t>1732</t>
  </si>
  <si>
    <t>p.11</t>
  </si>
  <si>
    <t>1.83</t>
  </si>
  <si>
    <t>1768</t>
  </si>
  <si>
    <t>p.28</t>
  </si>
  <si>
    <t>laxmikantborse15@rediffmail.com</t>
  </si>
  <si>
    <t>2.2999999999999998</t>
  </si>
  <si>
    <t>1818</t>
  </si>
  <si>
    <t>p.5</t>
  </si>
  <si>
    <t>lo.iniaghe@uniben.edu</t>
  </si>
  <si>
    <t>1.73</t>
  </si>
  <si>
    <t>2.72</t>
  </si>
  <si>
    <t>1883</t>
  </si>
  <si>
    <t>q.4</t>
  </si>
  <si>
    <t>sqasoumi@ksu.edu.sa</t>
  </si>
  <si>
    <t>3.37</t>
  </si>
  <si>
    <t>3.13</t>
  </si>
  <si>
    <t>1885</t>
  </si>
  <si>
    <t>1.76</t>
  </si>
  <si>
    <t>2.02</t>
  </si>
  <si>
    <t>1915</t>
  </si>
  <si>
    <t>r.18</t>
  </si>
  <si>
    <t>1.81</t>
  </si>
  <si>
    <t>2.37</t>
  </si>
  <si>
    <t>1952</t>
  </si>
  <si>
    <t>2.16</t>
  </si>
  <si>
    <t>1964</t>
  </si>
  <si>
    <t>chellion@qui.una.py</t>
  </si>
  <si>
    <t>0.37314876389986873</t>
  </si>
  <si>
    <t>1.1953409555436472</t>
  </si>
  <si>
    <t>1984</t>
  </si>
  <si>
    <t>s.11</t>
  </si>
  <si>
    <t>kamei@hoshi.ac.jp</t>
  </si>
  <si>
    <t>3.16</t>
  </si>
  <si>
    <t>1988</t>
  </si>
  <si>
    <t>2.1599999999999966</t>
  </si>
  <si>
    <t>3.4699999999999989</t>
  </si>
  <si>
    <t>1996</t>
  </si>
  <si>
    <t>17</t>
  </si>
  <si>
    <t>1.7</t>
  </si>
  <si>
    <t>2009</t>
  </si>
  <si>
    <t>2048</t>
  </si>
  <si>
    <t>s.48</t>
  </si>
  <si>
    <t>Department of Pharmacology, C. L. Baid Metha College of Pharmacy, Chennai</t>
  </si>
  <si>
    <t>2.29</t>
  </si>
  <si>
    <t>2169</t>
  </si>
  <si>
    <t>u.25</t>
  </si>
  <si>
    <t>Apurba Sarker Apu, Department of Pharmacy, East West University, Plot No-A/2, Main Road, J ahurul Islam City, Aftabnagar, Dhaka-1212, Bangladesh</t>
  </si>
  <si>
    <t>2231</t>
  </si>
  <si>
    <t>v.37</t>
  </si>
  <si>
    <t>zhaihf@hsc.pku.edu.cn</t>
  </si>
  <si>
    <t>150</t>
  </si>
  <si>
    <t>4.74</t>
  </si>
  <si>
    <t>6.3900000000000006</t>
  </si>
  <si>
    <t>2245</t>
  </si>
  <si>
    <t>v.46</t>
  </si>
  <si>
    <t>oyemix@yahoo.com</t>
  </si>
  <si>
    <t>1.17</t>
  </si>
  <si>
    <t>1.38</t>
  </si>
  <si>
    <t>2246</t>
  </si>
  <si>
    <t>v.49</t>
  </si>
  <si>
    <t>ohl@mpipsykl.mpg.de</t>
  </si>
  <si>
    <t>C57BL/6N</t>
  </si>
  <si>
    <t>2.57</t>
  </si>
  <si>
    <t>2.64</t>
  </si>
  <si>
    <t>2249</t>
  </si>
  <si>
    <t>v.6</t>
  </si>
  <si>
    <t>sgorza@ffyb.uba.ar</t>
  </si>
  <si>
    <t>2287</t>
  </si>
  <si>
    <t>3.5100000000000051</t>
  </si>
  <si>
    <t>2313</t>
  </si>
  <si>
    <t>7.07</t>
  </si>
  <si>
    <t>6.55</t>
  </si>
  <si>
    <t>2373</t>
  </si>
  <si>
    <t>x.9</t>
  </si>
  <si>
    <t>divneetchopra@gmail.com</t>
  </si>
  <si>
    <t>Laca/Balb/c</t>
  </si>
  <si>
    <t>0.94</t>
  </si>
  <si>
    <t>hybrid</t>
  </si>
  <si>
    <t>2463</t>
  </si>
  <si>
    <t>1.06</t>
  </si>
  <si>
    <t>4.03</t>
  </si>
  <si>
    <t>2484</t>
  </si>
  <si>
    <t>u.10</t>
  </si>
  <si>
    <t>anjookamboj@gmail.com</t>
  </si>
  <si>
    <t>0.83999999999999986</t>
  </si>
  <si>
    <t>0.78999999999999915</t>
  </si>
  <si>
    <t>513</t>
  </si>
  <si>
    <t>1282</t>
  </si>
  <si>
    <t>j.30</t>
  </si>
  <si>
    <t>farjanakhtn.09@gmail.com</t>
  </si>
  <si>
    <t>72x72x40</t>
  </si>
  <si>
    <t>1.78</t>
  </si>
  <si>
    <t>1740</t>
  </si>
  <si>
    <t>447</t>
  </si>
  <si>
    <t>7.9</t>
  </si>
  <si>
    <t>811</t>
  </si>
  <si>
    <t>72 x 72</t>
  </si>
  <si>
    <t>2.92</t>
  </si>
  <si>
    <t>925</t>
  </si>
  <si>
    <t>ldb.191</t>
  </si>
  <si>
    <t>arghyakusumdhar@yahoo.in</t>
  </si>
  <si>
    <t>29.23</t>
  </si>
  <si>
    <t>15.19</t>
  </si>
  <si>
    <t>1041</t>
  </si>
  <si>
    <t>g.35</t>
  </si>
  <si>
    <t>University of Babylon, College of Medicine</t>
  </si>
  <si>
    <t>100x100x50</t>
  </si>
  <si>
    <t>12.15155781</t>
  </si>
  <si>
    <t>15.95010076</t>
  </si>
  <si>
    <t>1283</t>
  </si>
  <si>
    <t>1335</t>
  </si>
  <si>
    <t>1411</t>
  </si>
  <si>
    <t>0.31</t>
  </si>
  <si>
    <t>1752</t>
  </si>
  <si>
    <t>p.17</t>
  </si>
  <si>
    <t>48</t>
  </si>
  <si>
    <t>92x92</t>
  </si>
  <si>
    <t>2.71</t>
  </si>
  <si>
    <t>M1-M2</t>
  </si>
  <si>
    <t>Pooled_SD</t>
  </si>
  <si>
    <t>d</t>
  </si>
  <si>
    <t>-</t>
  </si>
  <si>
    <t xml:space="preserve"> </t>
  </si>
  <si>
    <t>21 percent</t>
  </si>
  <si>
    <t>0.41</t>
  </si>
  <si>
    <t>N/A</t>
  </si>
  <si>
    <t>diff d and yi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</si>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</sst>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sz val="12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NumberFormat="1" applyFont="1" applyFill="1" applyAlignment="1">
      <alignment horizontal="left" vertical="top"/>
    </xf>
    <xf numFmtId="0" fontId="2" fillId="0" borderId="0" xfId="0" applyNumberFormat="1" applyFont="1" applyFill="1" applyAlignment="1">
      <alignment horizontal="left" vertical="top"/>
    </xf>
    <xf numFmtId="0" fontId="2" fillId="0" borderId="0" xfId="0" applyFont="1" applyFill="1" applyAlignment="1">
      <alignment horizontal="left"/>
    </xf>
    <xf numFmtId="2" fontId="2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 vertical="center" wrapText="1"/>
    </xf>
    <xf numFmtId="2" fontId="2" fillId="0" borderId="0" xfId="0" applyNumberFormat="1" applyFont="1" applyFill="1" applyAlignment="1">
      <alignment horizontal="left" vertical="center" wrapText="1"/>
    </xf>
    <xf numFmtId="2" fontId="3" fillId="0" borderId="0" xfId="0" applyNumberFormat="1" applyFont="1" applyFill="1" applyAlignment="1">
      <alignment horizontal="left" vertical="center" wrapText="1"/>
    </xf>
    <xf numFmtId="0" fontId="3" fillId="0" borderId="0" xfId="0" applyFont="1" applyFill="1" applyAlignment="1">
      <alignment horizontal="left"/>
    </xf>
    <xf numFmtId="1" fontId="2" fillId="0" borderId="0" xfId="0" applyNumberFormat="1" applyFont="1" applyFill="1" applyAlignment="1">
      <alignment horizontal="left" vertical="top"/>
    </xf>
    <xf numFmtId="2" fontId="4" fillId="0" borderId="0" xfId="0" applyNumberFormat="1" applyFont="1" applyFill="1" applyAlignment="1">
      <alignment horizontal="left"/>
    </xf>
    <xf numFmtId="0" fontId="2" fillId="0" borderId="0" xfId="0" applyNumberFormat="1" applyFont="1" applyFill="1" applyAlignment="1">
      <alignment horizontal="left"/>
    </xf>
    <xf numFmtId="9" fontId="2" fillId="0" borderId="0" xfId="0" applyNumberFormat="1" applyFont="1" applyFill="1" applyAlignment="1">
      <alignment horizontal="left" vertical="top"/>
    </xf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0" xfId="0" applyNumberFormat="1" applyFont="1" applyFill="1" applyAlignment="1">
      <alignment horizontal="left" vertical="top"/>
    </xf>
    <xf numFmtId="0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42"/>
  <sheetViews>
    <sheetView tabSelected="1" topLeftCell="AF1" workbookViewId="0">
      <selection activeCell="AJ5" sqref="AJ5"/>
    </sheetView>
  </sheetViews>
  <sheetFormatPr defaultRowHeight="14.75" x14ac:dyDescent="0.75"/>
  <sheetData>
    <row r="1" spans="1:51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7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L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  <c r="U2">
        <v>1</v>
      </c>
      <c r="V2" t="s">
        <v>67</v>
      </c>
      <c r="Y2" t="s">
        <v>68</v>
      </c>
      <c r="Z2" t="s">
        <v>69</v>
      </c>
      <c r="AA2">
        <v>51.4</v>
      </c>
      <c r="AB2" t="s">
        <v>57</v>
      </c>
      <c r="AC2">
        <v>6</v>
      </c>
      <c r="AD2">
        <v>9.773464073704881</v>
      </c>
      <c r="AE2" t="s">
        <v>70</v>
      </c>
      <c r="AF2">
        <v>15.6</v>
      </c>
      <c r="AG2">
        <v>6</v>
      </c>
      <c r="AH2">
        <v>10.336846714545009</v>
      </c>
      <c r="AI2" t="s">
        <v>71</v>
      </c>
      <c r="AJ2" t="s">
        <v>72</v>
      </c>
      <c r="AK2">
        <v>-3.2840205977305641</v>
      </c>
      <c r="AL2">
        <v>0.78269963692994216</v>
      </c>
      <c r="AM2">
        <v>12</v>
      </c>
      <c r="AN2">
        <v>1</v>
      </c>
      <c r="AO2">
        <v>0.88470313491585539</v>
      </c>
      <c r="AP2">
        <v>-3.7120028946691921</v>
      </c>
      <c r="AQ2">
        <v>-5.0180068791753207</v>
      </c>
      <c r="AR2">
        <v>-1.5500343162858072</v>
      </c>
      <c r="AS2">
        <v>10</v>
      </c>
      <c r="AT2" t="s">
        <v>73</v>
      </c>
      <c r="AU2" t="s">
        <v>60</v>
      </c>
      <c r="AV2" t="s">
        <v>74</v>
      </c>
      <c r="AW2" t="s">
        <v>74</v>
      </c>
      <c r="AX2" t="s">
        <v>74</v>
      </c>
      <c r="AY2" t="s">
        <v>74</v>
      </c>
    </row>
    <row r="3" spans="1:51" x14ac:dyDescent="0.75">
      <c r="A3" t="s">
        <v>75</v>
      </c>
      <c r="B3" t="s">
        <v>52</v>
      </c>
      <c r="C3" t="s">
        <v>53</v>
      </c>
      <c r="D3" t="s">
        <v>76</v>
      </c>
      <c r="E3" t="s">
        <v>77</v>
      </c>
      <c r="K3" t="s">
        <v>78</v>
      </c>
      <c r="Q3" t="s">
        <v>63</v>
      </c>
      <c r="R3" t="s">
        <v>64</v>
      </c>
      <c r="T3" t="s">
        <v>66</v>
      </c>
      <c r="U3">
        <v>1</v>
      </c>
      <c r="V3" t="s">
        <v>67</v>
      </c>
      <c r="W3" t="s">
        <v>79</v>
      </c>
      <c r="X3" t="s">
        <v>80</v>
      </c>
      <c r="Y3" t="s">
        <v>68</v>
      </c>
      <c r="Z3" t="s">
        <v>81</v>
      </c>
      <c r="AA3">
        <v>176.8</v>
      </c>
      <c r="AB3" t="s">
        <v>69</v>
      </c>
      <c r="AC3">
        <v>5</v>
      </c>
      <c r="AD3">
        <v>5.4112845055494914</v>
      </c>
      <c r="AE3" t="s">
        <v>82</v>
      </c>
      <c r="AF3">
        <v>70</v>
      </c>
      <c r="AG3">
        <v>5</v>
      </c>
      <c r="AH3">
        <v>4.2932505167995965</v>
      </c>
      <c r="AI3" t="s">
        <v>83</v>
      </c>
      <c r="AJ3" t="s">
        <v>72</v>
      </c>
      <c r="AK3">
        <v>-19.738238109566243</v>
      </c>
      <c r="AL3">
        <v>19.879902183496657</v>
      </c>
      <c r="AM3">
        <v>10</v>
      </c>
      <c r="AN3">
        <v>1</v>
      </c>
      <c r="AO3">
        <v>4.4586883927335244</v>
      </c>
      <c r="AP3">
        <v>-4.4269158037001013</v>
      </c>
      <c r="AQ3">
        <v>-28.477106777610729</v>
      </c>
      <c r="AR3">
        <v>-10.999369441521756</v>
      </c>
      <c r="AS3">
        <v>44</v>
      </c>
      <c r="AT3" t="s">
        <v>73</v>
      </c>
      <c r="AU3" t="s">
        <v>60</v>
      </c>
      <c r="AV3" t="s">
        <v>84</v>
      </c>
      <c r="AW3" t="s">
        <v>60</v>
      </c>
      <c r="AX3" t="s">
        <v>84</v>
      </c>
      <c r="AY3" t="s">
        <v>74</v>
      </c>
    </row>
    <row r="4" spans="1:51" x14ac:dyDescent="0.75">
      <c r="A4" t="s">
        <v>85</v>
      </c>
      <c r="B4" t="s">
        <v>52</v>
      </c>
      <c r="C4" t="s">
        <v>53</v>
      </c>
      <c r="D4" t="s">
        <v>86</v>
      </c>
      <c r="E4" t="s">
        <v>87</v>
      </c>
      <c r="F4" t="s">
        <v>56</v>
      </c>
      <c r="G4" t="s">
        <v>81</v>
      </c>
      <c r="H4" t="s">
        <v>88</v>
      </c>
      <c r="I4" t="s">
        <v>80</v>
      </c>
      <c r="L4" t="s">
        <v>60</v>
      </c>
      <c r="P4" t="s">
        <v>89</v>
      </c>
      <c r="Q4" t="s">
        <v>90</v>
      </c>
      <c r="R4" t="s">
        <v>64</v>
      </c>
      <c r="T4" t="s">
        <v>66</v>
      </c>
      <c r="U4">
        <v>0.5</v>
      </c>
      <c r="V4" t="s">
        <v>91</v>
      </c>
      <c r="W4" t="s">
        <v>79</v>
      </c>
      <c r="X4" t="s">
        <v>92</v>
      </c>
      <c r="Y4" t="s">
        <v>68</v>
      </c>
      <c r="Z4" t="s">
        <v>51</v>
      </c>
      <c r="AA4">
        <v>341.86</v>
      </c>
      <c r="AB4" t="s">
        <v>65</v>
      </c>
      <c r="AC4">
        <v>8</v>
      </c>
      <c r="AD4">
        <v>46.018509319620513</v>
      </c>
      <c r="AE4" t="s">
        <v>93</v>
      </c>
      <c r="AF4">
        <v>469.76</v>
      </c>
      <c r="AG4">
        <v>8</v>
      </c>
      <c r="AH4">
        <v>72.351165851007536</v>
      </c>
      <c r="AI4" t="s">
        <v>94</v>
      </c>
      <c r="AJ4" t="s">
        <v>74</v>
      </c>
      <c r="AK4">
        <v>1.9940459642612371</v>
      </c>
      <c r="AL4">
        <v>0.37425685336207898</v>
      </c>
      <c r="AM4">
        <v>16</v>
      </c>
      <c r="AN4">
        <v>1</v>
      </c>
      <c r="AO4">
        <v>0.61176535809252797</v>
      </c>
      <c r="AP4">
        <v>3.2594947358226234</v>
      </c>
      <c r="AQ4">
        <v>0.79500789541063321</v>
      </c>
      <c r="AR4">
        <v>3.1930840331118411</v>
      </c>
      <c r="AS4">
        <v>63</v>
      </c>
      <c r="AT4" t="s">
        <v>95</v>
      </c>
      <c r="AU4" t="s">
        <v>60</v>
      </c>
      <c r="AV4" t="s">
        <v>96</v>
      </c>
      <c r="AW4" t="s">
        <v>74</v>
      </c>
      <c r="AX4" t="s">
        <v>74</v>
      </c>
      <c r="AY4" t="s">
        <v>97</v>
      </c>
    </row>
    <row r="5" spans="1:51" x14ac:dyDescent="0.75">
      <c r="A5" t="s">
        <v>98</v>
      </c>
      <c r="B5" t="s">
        <v>52</v>
      </c>
      <c r="C5" t="s">
        <v>53</v>
      </c>
      <c r="D5" t="s">
        <v>99</v>
      </c>
      <c r="E5" t="s">
        <v>100</v>
      </c>
      <c r="F5" t="s">
        <v>56</v>
      </c>
      <c r="G5" t="s">
        <v>81</v>
      </c>
      <c r="H5" t="s">
        <v>101</v>
      </c>
      <c r="I5" t="s">
        <v>80</v>
      </c>
      <c r="L5" t="s">
        <v>60</v>
      </c>
      <c r="Q5" t="s">
        <v>102</v>
      </c>
      <c r="R5" t="s">
        <v>103</v>
      </c>
      <c r="T5" t="s">
        <v>66</v>
      </c>
      <c r="U5">
        <v>2</v>
      </c>
      <c r="V5" t="s">
        <v>91</v>
      </c>
      <c r="W5" t="s">
        <v>79</v>
      </c>
      <c r="X5" t="s">
        <v>92</v>
      </c>
      <c r="Y5" t="s">
        <v>68</v>
      </c>
      <c r="Z5" t="s">
        <v>69</v>
      </c>
      <c r="AA5">
        <v>74.38</v>
      </c>
      <c r="AB5" t="s">
        <v>57</v>
      </c>
      <c r="AC5">
        <v>6</v>
      </c>
      <c r="AD5">
        <v>8.1812957408958145</v>
      </c>
      <c r="AE5" t="s">
        <v>104</v>
      </c>
      <c r="AF5">
        <v>38.299999999999997</v>
      </c>
      <c r="AG5">
        <v>6</v>
      </c>
      <c r="AH5">
        <v>19.106019993708788</v>
      </c>
      <c r="AI5" t="s">
        <v>105</v>
      </c>
      <c r="AJ5" t="s">
        <v>102</v>
      </c>
      <c r="AK5">
        <v>-2.2653479130394265</v>
      </c>
      <c r="AL5">
        <v>0.54715838196300348</v>
      </c>
      <c r="AM5">
        <v>12</v>
      </c>
      <c r="AN5">
        <v>1</v>
      </c>
      <c r="AO5">
        <v>0.73970154925010367</v>
      </c>
      <c r="AP5">
        <v>-3.0625161125267293</v>
      </c>
      <c r="AQ5">
        <v>-3.7151363088781109</v>
      </c>
      <c r="AR5">
        <v>-0.81555951720074238</v>
      </c>
      <c r="AS5">
        <v>73</v>
      </c>
      <c r="AT5" t="s">
        <v>73</v>
      </c>
      <c r="AU5" t="s">
        <v>60</v>
      </c>
      <c r="AV5" t="s">
        <v>84</v>
      </c>
      <c r="AW5" t="s">
        <v>60</v>
      </c>
      <c r="AX5" t="s">
        <v>84</v>
      </c>
      <c r="AY5" t="s">
        <v>97</v>
      </c>
    </row>
    <row r="6" spans="1:51" x14ac:dyDescent="0.75">
      <c r="A6" t="s">
        <v>106</v>
      </c>
      <c r="B6" t="s">
        <v>52</v>
      </c>
      <c r="C6" t="s">
        <v>53</v>
      </c>
      <c r="D6" t="s">
        <v>107</v>
      </c>
      <c r="E6" t="s">
        <v>108</v>
      </c>
      <c r="F6" t="s">
        <v>56</v>
      </c>
      <c r="G6" t="s">
        <v>109</v>
      </c>
      <c r="H6" t="s">
        <v>88</v>
      </c>
      <c r="K6" t="s">
        <v>110</v>
      </c>
      <c r="L6" t="s">
        <v>60</v>
      </c>
      <c r="Q6" t="s">
        <v>63</v>
      </c>
      <c r="R6" t="s">
        <v>111</v>
      </c>
      <c r="T6" t="s">
        <v>66</v>
      </c>
      <c r="U6">
        <v>2</v>
      </c>
      <c r="V6" t="s">
        <v>67</v>
      </c>
      <c r="W6" t="s">
        <v>79</v>
      </c>
      <c r="X6" t="s">
        <v>80</v>
      </c>
      <c r="Y6" t="s">
        <v>68</v>
      </c>
      <c r="Z6" t="s">
        <v>57</v>
      </c>
      <c r="AA6">
        <v>84.34</v>
      </c>
      <c r="AB6" t="s">
        <v>65</v>
      </c>
      <c r="AC6">
        <v>8</v>
      </c>
      <c r="AD6">
        <v>6.1659711319466952</v>
      </c>
      <c r="AE6" t="s">
        <v>112</v>
      </c>
      <c r="AF6">
        <v>94.37</v>
      </c>
      <c r="AG6">
        <v>8</v>
      </c>
      <c r="AH6">
        <v>6.4488138444213137</v>
      </c>
      <c r="AI6" t="s">
        <v>113</v>
      </c>
      <c r="AJ6" t="s">
        <v>72</v>
      </c>
      <c r="AK6">
        <v>1.5028165148818409</v>
      </c>
      <c r="AL6">
        <v>0.32057679616880008</v>
      </c>
      <c r="AM6">
        <v>16</v>
      </c>
      <c r="AN6">
        <v>1</v>
      </c>
      <c r="AO6">
        <v>0.56619501602257161</v>
      </c>
      <c r="AP6">
        <v>2.6542383319423823</v>
      </c>
      <c r="AQ6">
        <v>0.39309467525152186</v>
      </c>
      <c r="AR6">
        <v>2.6125383545121599</v>
      </c>
      <c r="AS6">
        <v>112</v>
      </c>
      <c r="AT6" t="s">
        <v>95</v>
      </c>
      <c r="AU6" t="s">
        <v>60</v>
      </c>
      <c r="AV6" t="s">
        <v>74</v>
      </c>
      <c r="AW6" t="s">
        <v>74</v>
      </c>
      <c r="AX6" t="s">
        <v>74</v>
      </c>
      <c r="AY6" t="s">
        <v>114</v>
      </c>
    </row>
    <row r="7" spans="1:51" x14ac:dyDescent="0.75">
      <c r="A7" t="s">
        <v>115</v>
      </c>
      <c r="B7" t="s">
        <v>52</v>
      </c>
      <c r="C7" t="s">
        <v>53</v>
      </c>
      <c r="D7" t="s">
        <v>116</v>
      </c>
      <c r="E7" t="s">
        <v>117</v>
      </c>
      <c r="F7" t="s">
        <v>56</v>
      </c>
      <c r="G7" t="s">
        <v>118</v>
      </c>
      <c r="H7" t="s">
        <v>119</v>
      </c>
      <c r="I7" t="s">
        <v>120</v>
      </c>
      <c r="P7" t="s">
        <v>121</v>
      </c>
      <c r="Q7" t="s">
        <v>63</v>
      </c>
      <c r="R7" t="s">
        <v>64</v>
      </c>
      <c r="S7" t="s">
        <v>122</v>
      </c>
      <c r="T7" t="s">
        <v>66</v>
      </c>
      <c r="U7">
        <v>1</v>
      </c>
      <c r="V7" t="s">
        <v>67</v>
      </c>
      <c r="W7" t="s">
        <v>79</v>
      </c>
      <c r="X7" t="s">
        <v>80</v>
      </c>
      <c r="Y7" t="s">
        <v>68</v>
      </c>
      <c r="Z7" t="s">
        <v>80</v>
      </c>
      <c r="AA7">
        <v>75.34</v>
      </c>
      <c r="AB7" t="s">
        <v>51</v>
      </c>
      <c r="AC7">
        <v>10</v>
      </c>
      <c r="AD7">
        <v>23.93844188747461</v>
      </c>
      <c r="AE7" t="s">
        <v>123</v>
      </c>
      <c r="AF7">
        <v>115.94</v>
      </c>
      <c r="AG7">
        <v>10</v>
      </c>
      <c r="AH7">
        <v>45.663289412831396</v>
      </c>
      <c r="AI7" t="s">
        <v>124</v>
      </c>
      <c r="AJ7" t="s">
        <v>72</v>
      </c>
      <c r="AK7">
        <v>1.0664822276796087</v>
      </c>
      <c r="AL7">
        <v>0.22843460854891154</v>
      </c>
      <c r="AM7">
        <v>20</v>
      </c>
      <c r="AN7">
        <v>1</v>
      </c>
      <c r="AO7">
        <v>0.47794833250981378</v>
      </c>
      <c r="AP7">
        <v>2.231375559109646</v>
      </c>
      <c r="AQ7">
        <v>0.12972070948939951</v>
      </c>
      <c r="AR7">
        <v>2.0032437458698178</v>
      </c>
      <c r="AS7">
        <v>141</v>
      </c>
      <c r="AT7" t="s">
        <v>95</v>
      </c>
      <c r="AU7" t="s">
        <v>60</v>
      </c>
      <c r="AV7" t="s">
        <v>74</v>
      </c>
      <c r="AW7" t="s">
        <v>74</v>
      </c>
      <c r="AX7" t="s">
        <v>74</v>
      </c>
      <c r="AY7" t="s">
        <v>96</v>
      </c>
    </row>
    <row r="8" spans="1:51" x14ac:dyDescent="0.75">
      <c r="A8" t="s">
        <v>125</v>
      </c>
      <c r="B8" t="s">
        <v>52</v>
      </c>
      <c r="C8" t="s">
        <v>53</v>
      </c>
      <c r="D8" t="s">
        <v>126</v>
      </c>
      <c r="E8" t="s">
        <v>127</v>
      </c>
      <c r="H8" t="s">
        <v>128</v>
      </c>
      <c r="I8" t="s">
        <v>80</v>
      </c>
      <c r="K8" t="s">
        <v>129</v>
      </c>
      <c r="P8" t="s">
        <v>130</v>
      </c>
      <c r="Q8" t="s">
        <v>63</v>
      </c>
      <c r="R8" t="s">
        <v>103</v>
      </c>
      <c r="S8" t="s">
        <v>131</v>
      </c>
      <c r="T8" t="s">
        <v>66</v>
      </c>
      <c r="U8">
        <v>2</v>
      </c>
      <c r="V8" t="s">
        <v>91</v>
      </c>
      <c r="W8" t="s">
        <v>79</v>
      </c>
      <c r="X8" t="s">
        <v>80</v>
      </c>
      <c r="Y8" t="s">
        <v>68</v>
      </c>
      <c r="Z8" t="s">
        <v>81</v>
      </c>
      <c r="AA8">
        <v>103.33</v>
      </c>
      <c r="AB8" t="s">
        <v>57</v>
      </c>
      <c r="AC8">
        <v>6</v>
      </c>
      <c r="AD8">
        <v>27.899688170300397</v>
      </c>
      <c r="AE8" t="s">
        <v>132</v>
      </c>
      <c r="AF8">
        <v>46.67</v>
      </c>
      <c r="AG8">
        <v>6</v>
      </c>
      <c r="AH8">
        <v>27.630244298594246</v>
      </c>
      <c r="AI8" t="s">
        <v>133</v>
      </c>
      <c r="AJ8" t="s">
        <v>72</v>
      </c>
      <c r="AK8">
        <v>-1.8830259055967573</v>
      </c>
      <c r="AL8">
        <v>0.4810744400478536</v>
      </c>
      <c r="AM8">
        <v>12</v>
      </c>
      <c r="AN8">
        <v>1</v>
      </c>
      <c r="AO8">
        <v>0.69359529990323143</v>
      </c>
      <c r="AP8">
        <v>-2.7148769691194161</v>
      </c>
      <c r="AQ8">
        <v>-3.2424477132533482</v>
      </c>
      <c r="AR8">
        <v>-0.52360409794016616</v>
      </c>
      <c r="AS8">
        <v>146</v>
      </c>
      <c r="AT8" t="s">
        <v>73</v>
      </c>
      <c r="AU8" t="s">
        <v>60</v>
      </c>
      <c r="AV8" t="s">
        <v>84</v>
      </c>
      <c r="AW8" t="s">
        <v>60</v>
      </c>
      <c r="AX8" t="s">
        <v>84</v>
      </c>
      <c r="AY8" t="s">
        <v>97</v>
      </c>
    </row>
    <row r="9" spans="1:51" x14ac:dyDescent="0.75">
      <c r="A9" t="s">
        <v>134</v>
      </c>
      <c r="B9" t="s">
        <v>52</v>
      </c>
      <c r="C9" t="s">
        <v>53</v>
      </c>
      <c r="D9" t="s">
        <v>135</v>
      </c>
      <c r="E9" t="s">
        <v>136</v>
      </c>
      <c r="F9" t="s">
        <v>56</v>
      </c>
      <c r="G9" t="s">
        <v>69</v>
      </c>
      <c r="H9" t="s">
        <v>137</v>
      </c>
      <c r="Q9" t="s">
        <v>138</v>
      </c>
      <c r="R9" t="s">
        <v>64</v>
      </c>
      <c r="T9" t="s">
        <v>66</v>
      </c>
      <c r="U9">
        <v>1</v>
      </c>
      <c r="W9" t="s">
        <v>79</v>
      </c>
      <c r="X9" t="s">
        <v>139</v>
      </c>
      <c r="Y9" t="s">
        <v>68</v>
      </c>
      <c r="Z9" t="s">
        <v>69</v>
      </c>
      <c r="AA9">
        <v>111.57</v>
      </c>
      <c r="AB9" t="s">
        <v>69</v>
      </c>
      <c r="AC9">
        <v>5</v>
      </c>
      <c r="AD9">
        <v>11.493389404348919</v>
      </c>
      <c r="AE9" t="s">
        <v>140</v>
      </c>
      <c r="AF9">
        <v>160.19999999999999</v>
      </c>
      <c r="AG9">
        <v>5</v>
      </c>
      <c r="AH9">
        <v>36.291383274821591</v>
      </c>
      <c r="AI9" t="s">
        <v>141</v>
      </c>
      <c r="AJ9" t="s">
        <v>74</v>
      </c>
      <c r="AK9">
        <v>1.6308190280953616</v>
      </c>
      <c r="AL9">
        <v>0.53297853511989501</v>
      </c>
      <c r="AM9">
        <v>10</v>
      </c>
      <c r="AN9">
        <v>1</v>
      </c>
      <c r="AO9">
        <v>0.73005378919631325</v>
      </c>
      <c r="AP9">
        <v>2.2338340711725699</v>
      </c>
      <c r="AQ9">
        <v>0.19993989449359106</v>
      </c>
      <c r="AR9">
        <v>3.0616981616971319</v>
      </c>
      <c r="AS9">
        <v>155</v>
      </c>
      <c r="AT9" t="s">
        <v>95</v>
      </c>
      <c r="AU9" t="s">
        <v>60</v>
      </c>
      <c r="AV9" t="s">
        <v>74</v>
      </c>
      <c r="AW9" t="s">
        <v>74</v>
      </c>
      <c r="AX9" t="s">
        <v>96</v>
      </c>
      <c r="AY9" t="s">
        <v>96</v>
      </c>
    </row>
    <row r="10" spans="1:51" x14ac:dyDescent="0.75">
      <c r="A10" t="s">
        <v>142</v>
      </c>
      <c r="B10" t="s">
        <v>52</v>
      </c>
      <c r="C10" t="s">
        <v>53</v>
      </c>
      <c r="D10" t="s">
        <v>143</v>
      </c>
      <c r="E10" t="s">
        <v>144</v>
      </c>
      <c r="H10" t="s">
        <v>137</v>
      </c>
      <c r="M10" t="s">
        <v>145</v>
      </c>
      <c r="P10" t="s">
        <v>146</v>
      </c>
      <c r="Q10" t="s">
        <v>102</v>
      </c>
      <c r="R10" t="s">
        <v>103</v>
      </c>
      <c r="T10" t="s">
        <v>66</v>
      </c>
      <c r="U10">
        <v>0.5</v>
      </c>
      <c r="V10" t="s">
        <v>91</v>
      </c>
      <c r="W10" t="s">
        <v>79</v>
      </c>
      <c r="X10" t="s">
        <v>139</v>
      </c>
      <c r="Y10" t="s">
        <v>68</v>
      </c>
      <c r="Z10" t="s">
        <v>51</v>
      </c>
      <c r="AA10">
        <v>126</v>
      </c>
      <c r="AB10" t="s">
        <v>57</v>
      </c>
      <c r="AC10">
        <v>6</v>
      </c>
      <c r="AD10">
        <v>3.0128723836233089</v>
      </c>
      <c r="AE10" t="s">
        <v>147</v>
      </c>
      <c r="AF10">
        <v>5</v>
      </c>
      <c r="AG10">
        <v>6</v>
      </c>
      <c r="AH10">
        <v>4.8989794855663557E-2</v>
      </c>
      <c r="AI10" t="s">
        <v>148</v>
      </c>
      <c r="AJ10" t="s">
        <v>102</v>
      </c>
      <c r="AK10">
        <v>-52.401559702333039</v>
      </c>
      <c r="AL10">
        <v>114.74681080154892</v>
      </c>
      <c r="AM10">
        <v>12</v>
      </c>
      <c r="AN10">
        <v>1</v>
      </c>
      <c r="AO10">
        <v>10.71199378274413</v>
      </c>
      <c r="AP10">
        <v>-4.89185867403567</v>
      </c>
      <c r="AQ10">
        <v>-73.396681719128509</v>
      </c>
      <c r="AR10">
        <v>-31.406437685537568</v>
      </c>
      <c r="AS10">
        <v>156</v>
      </c>
      <c r="AT10" t="s">
        <v>73</v>
      </c>
      <c r="AU10" t="s">
        <v>60</v>
      </c>
      <c r="AV10" t="s">
        <v>84</v>
      </c>
      <c r="AW10" t="s">
        <v>60</v>
      </c>
      <c r="AX10" t="s">
        <v>84</v>
      </c>
      <c r="AY10" t="s">
        <v>74</v>
      </c>
    </row>
    <row r="11" spans="1:51" x14ac:dyDescent="0.75">
      <c r="A11" t="s">
        <v>149</v>
      </c>
      <c r="B11" t="s">
        <v>52</v>
      </c>
      <c r="C11" t="s">
        <v>53</v>
      </c>
      <c r="D11" t="s">
        <v>150</v>
      </c>
      <c r="E11" t="s">
        <v>151</v>
      </c>
      <c r="H11" t="s">
        <v>101</v>
      </c>
      <c r="L11" t="s">
        <v>60</v>
      </c>
      <c r="P11" t="s">
        <v>152</v>
      </c>
      <c r="Q11" t="s">
        <v>63</v>
      </c>
      <c r="R11" t="s">
        <v>64</v>
      </c>
      <c r="T11" t="s">
        <v>66</v>
      </c>
      <c r="U11">
        <v>1.5</v>
      </c>
      <c r="V11" t="s">
        <v>91</v>
      </c>
      <c r="W11" t="s">
        <v>79</v>
      </c>
      <c r="X11" t="s">
        <v>80</v>
      </c>
      <c r="Y11" t="s">
        <v>68</v>
      </c>
      <c r="Z11" t="s">
        <v>69</v>
      </c>
      <c r="AA11">
        <v>44.4</v>
      </c>
      <c r="AB11" t="s">
        <v>65</v>
      </c>
      <c r="AC11">
        <v>8</v>
      </c>
      <c r="AD11">
        <v>9.6166522241370469</v>
      </c>
      <c r="AE11" t="s">
        <v>153</v>
      </c>
      <c r="AF11">
        <v>27.1</v>
      </c>
      <c r="AG11">
        <v>8</v>
      </c>
      <c r="AH11">
        <v>9.05096679918781</v>
      </c>
      <c r="AI11" t="s">
        <v>154</v>
      </c>
      <c r="AJ11" t="s">
        <v>72</v>
      </c>
      <c r="AK11">
        <v>-1.7512650520627953</v>
      </c>
      <c r="AL11">
        <v>0.34584154008051576</v>
      </c>
      <c r="AM11">
        <v>16</v>
      </c>
      <c r="AN11">
        <v>1</v>
      </c>
      <c r="AO11">
        <v>0.58808293639631792</v>
      </c>
      <c r="AP11">
        <v>-2.9779218944767876</v>
      </c>
      <c r="AQ11">
        <v>-2.9038864273221376</v>
      </c>
      <c r="AR11">
        <v>-0.59864367680345287</v>
      </c>
      <c r="AS11">
        <v>165</v>
      </c>
      <c r="AT11" t="s">
        <v>73</v>
      </c>
      <c r="AU11" t="s">
        <v>60</v>
      </c>
      <c r="AV11" t="s">
        <v>96</v>
      </c>
      <c r="AW11" t="s">
        <v>60</v>
      </c>
      <c r="AX11" t="s">
        <v>96</v>
      </c>
      <c r="AY11" t="s">
        <v>97</v>
      </c>
    </row>
    <row r="12" spans="1:51" x14ac:dyDescent="0.75">
      <c r="A12" t="s">
        <v>155</v>
      </c>
      <c r="B12" t="s">
        <v>52</v>
      </c>
      <c r="C12" t="s">
        <v>53</v>
      </c>
      <c r="D12" t="s">
        <v>156</v>
      </c>
      <c r="E12" t="s">
        <v>157</v>
      </c>
      <c r="H12" t="s">
        <v>119</v>
      </c>
      <c r="P12" t="s">
        <v>158</v>
      </c>
      <c r="Q12" t="s">
        <v>63</v>
      </c>
      <c r="R12" t="s">
        <v>64</v>
      </c>
      <c r="T12" t="s">
        <v>66</v>
      </c>
      <c r="U12">
        <v>1</v>
      </c>
      <c r="V12" t="s">
        <v>91</v>
      </c>
      <c r="W12" t="s">
        <v>79</v>
      </c>
      <c r="X12" t="s">
        <v>139</v>
      </c>
      <c r="Y12" t="s">
        <v>68</v>
      </c>
      <c r="Z12" t="s">
        <v>69</v>
      </c>
      <c r="AA12">
        <v>51.4</v>
      </c>
      <c r="AB12" t="s">
        <v>118</v>
      </c>
      <c r="AC12">
        <v>15</v>
      </c>
      <c r="AD12">
        <v>12.006248373242993</v>
      </c>
      <c r="AE12" t="s">
        <v>159</v>
      </c>
      <c r="AF12">
        <v>42.6</v>
      </c>
      <c r="AG12">
        <v>10</v>
      </c>
      <c r="AH12">
        <v>13.597793938724031</v>
      </c>
      <c r="AI12" t="s">
        <v>160</v>
      </c>
      <c r="AJ12" t="s">
        <v>72</v>
      </c>
      <c r="AK12">
        <v>-0.67252255834876573</v>
      </c>
      <c r="AL12">
        <v>0.17571239849642606</v>
      </c>
      <c r="AM12">
        <v>25</v>
      </c>
      <c r="AN12">
        <v>1</v>
      </c>
      <c r="AO12">
        <v>0.41918062752997787</v>
      </c>
      <c r="AP12">
        <v>-1.6043741389281403</v>
      </c>
      <c r="AQ12">
        <v>-1.4941014913244213</v>
      </c>
      <c r="AR12">
        <v>0.14905637462688992</v>
      </c>
      <c r="AS12">
        <v>181</v>
      </c>
      <c r="AT12" t="s">
        <v>73</v>
      </c>
      <c r="AU12" t="s">
        <v>60</v>
      </c>
      <c r="AV12" t="s">
        <v>74</v>
      </c>
      <c r="AW12" t="s">
        <v>74</v>
      </c>
      <c r="AX12" t="s">
        <v>84</v>
      </c>
      <c r="AY12" t="s">
        <v>97</v>
      </c>
    </row>
    <row r="13" spans="1:51" x14ac:dyDescent="0.75">
      <c r="A13" t="s">
        <v>161</v>
      </c>
      <c r="B13" t="s">
        <v>52</v>
      </c>
      <c r="C13" t="s">
        <v>53</v>
      </c>
      <c r="D13" t="s">
        <v>162</v>
      </c>
      <c r="E13" t="s">
        <v>163</v>
      </c>
      <c r="F13" t="s">
        <v>56</v>
      </c>
      <c r="K13" t="s">
        <v>78</v>
      </c>
      <c r="M13" t="s">
        <v>164</v>
      </c>
      <c r="N13" t="s">
        <v>165</v>
      </c>
      <c r="O13" t="s">
        <v>80</v>
      </c>
      <c r="Q13" t="s">
        <v>166</v>
      </c>
      <c r="R13" t="s">
        <v>64</v>
      </c>
      <c r="S13" t="s">
        <v>57</v>
      </c>
      <c r="T13" t="s">
        <v>66</v>
      </c>
      <c r="U13">
        <v>1</v>
      </c>
      <c r="V13" t="s">
        <v>91</v>
      </c>
      <c r="X13" t="s">
        <v>51</v>
      </c>
      <c r="Y13" t="s">
        <v>68</v>
      </c>
      <c r="Z13" t="s">
        <v>51</v>
      </c>
      <c r="AA13">
        <v>145.44999999999999</v>
      </c>
      <c r="AB13" t="s">
        <v>51</v>
      </c>
      <c r="AC13">
        <v>10</v>
      </c>
      <c r="AD13">
        <v>23.970064664076318</v>
      </c>
      <c r="AE13" t="s">
        <v>167</v>
      </c>
      <c r="AF13">
        <v>83.33</v>
      </c>
      <c r="AG13">
        <v>10</v>
      </c>
      <c r="AH13">
        <v>35.923474219512791</v>
      </c>
      <c r="AI13" t="s">
        <v>168</v>
      </c>
      <c r="AJ13" t="s">
        <v>102</v>
      </c>
      <c r="AK13">
        <v>-1.9480730290548485</v>
      </c>
      <c r="AL13">
        <v>0.29487471316327329</v>
      </c>
      <c r="AM13">
        <v>20</v>
      </c>
      <c r="AN13">
        <v>1</v>
      </c>
      <c r="AO13">
        <v>0.54302367642974214</v>
      </c>
      <c r="AP13">
        <v>-3.5874550477485401</v>
      </c>
      <c r="AQ13">
        <v>-3.0123798776096748</v>
      </c>
      <c r="AR13">
        <v>-0.88376618050002209</v>
      </c>
      <c r="AS13">
        <v>192</v>
      </c>
      <c r="AT13" t="s">
        <v>73</v>
      </c>
      <c r="AU13" t="s">
        <v>60</v>
      </c>
      <c r="AV13" t="s">
        <v>74</v>
      </c>
      <c r="AW13" t="s">
        <v>74</v>
      </c>
      <c r="AX13" t="s">
        <v>84</v>
      </c>
      <c r="AY13" t="s">
        <v>97</v>
      </c>
    </row>
    <row r="14" spans="1:51" x14ac:dyDescent="0.75">
      <c r="A14" t="s">
        <v>169</v>
      </c>
      <c r="B14" t="s">
        <v>52</v>
      </c>
      <c r="C14" t="s">
        <v>53</v>
      </c>
      <c r="D14" t="s">
        <v>170</v>
      </c>
      <c r="E14" t="s">
        <v>171</v>
      </c>
      <c r="H14" t="s">
        <v>137</v>
      </c>
      <c r="I14" t="s">
        <v>80</v>
      </c>
      <c r="K14" t="s">
        <v>129</v>
      </c>
      <c r="Q14" t="s">
        <v>63</v>
      </c>
      <c r="T14" t="s">
        <v>66</v>
      </c>
      <c r="U14">
        <v>1</v>
      </c>
      <c r="V14" t="s">
        <v>91</v>
      </c>
      <c r="W14" t="s">
        <v>79</v>
      </c>
      <c r="X14" t="s">
        <v>80</v>
      </c>
      <c r="Y14" t="s">
        <v>68</v>
      </c>
      <c r="Z14" t="s">
        <v>81</v>
      </c>
      <c r="AA14">
        <v>61</v>
      </c>
      <c r="AB14" t="s">
        <v>69</v>
      </c>
      <c r="AC14">
        <v>5</v>
      </c>
      <c r="AD14">
        <v>5.9479408201494408</v>
      </c>
      <c r="AE14" t="s">
        <v>172</v>
      </c>
      <c r="AF14">
        <v>30.4</v>
      </c>
      <c r="AG14">
        <v>5</v>
      </c>
      <c r="AH14">
        <v>4.5615786740995716</v>
      </c>
      <c r="AI14" t="s">
        <v>173</v>
      </c>
      <c r="AJ14" t="s">
        <v>72</v>
      </c>
      <c r="AK14">
        <v>-5.2115560530534504</v>
      </c>
      <c r="AL14">
        <v>1.758015824705903</v>
      </c>
      <c r="AM14">
        <v>10</v>
      </c>
      <c r="AN14">
        <v>1</v>
      </c>
      <c r="AO14">
        <v>1.3259018910560099</v>
      </c>
      <c r="AP14">
        <v>-3.9305744174651753</v>
      </c>
      <c r="AQ14">
        <v>-7.81027600655678</v>
      </c>
      <c r="AR14">
        <v>-2.6128360995501207</v>
      </c>
      <c r="AS14">
        <v>203</v>
      </c>
      <c r="AT14" t="s">
        <v>73</v>
      </c>
      <c r="AU14" t="s">
        <v>60</v>
      </c>
      <c r="AV14" t="s">
        <v>84</v>
      </c>
      <c r="AW14" t="s">
        <v>60</v>
      </c>
      <c r="AX14" t="s">
        <v>84</v>
      </c>
      <c r="AY14" t="s">
        <v>97</v>
      </c>
    </row>
    <row r="15" spans="1:51" x14ac:dyDescent="0.75">
      <c r="A15" t="s">
        <v>174</v>
      </c>
      <c r="B15" t="s">
        <v>52</v>
      </c>
      <c r="C15" t="s">
        <v>53</v>
      </c>
      <c r="D15" t="s">
        <v>175</v>
      </c>
      <c r="E15" t="s">
        <v>176</v>
      </c>
      <c r="H15" t="s">
        <v>101</v>
      </c>
      <c r="K15" t="s">
        <v>177</v>
      </c>
      <c r="Q15" t="s">
        <v>63</v>
      </c>
      <c r="R15" t="s">
        <v>64</v>
      </c>
      <c r="T15" t="s">
        <v>66</v>
      </c>
      <c r="U15">
        <v>1</v>
      </c>
      <c r="V15" t="s">
        <v>91</v>
      </c>
      <c r="W15" t="s">
        <v>79</v>
      </c>
      <c r="X15" t="s">
        <v>139</v>
      </c>
      <c r="Y15" t="s">
        <v>68</v>
      </c>
      <c r="Z15" t="s">
        <v>69</v>
      </c>
      <c r="AA15">
        <v>53.14</v>
      </c>
      <c r="AB15" t="s">
        <v>57</v>
      </c>
      <c r="AC15">
        <v>6</v>
      </c>
      <c r="AD15">
        <v>7.0055406643598888</v>
      </c>
      <c r="AE15" t="s">
        <v>178</v>
      </c>
      <c r="AF15">
        <v>9.9499999999999993</v>
      </c>
      <c r="AG15">
        <v>6</v>
      </c>
      <c r="AH15">
        <v>3.5027703321799435</v>
      </c>
      <c r="AI15" t="s">
        <v>179</v>
      </c>
      <c r="AJ15" t="s">
        <v>72</v>
      </c>
      <c r="AK15">
        <v>-7.1958735627123547</v>
      </c>
      <c r="AL15">
        <v>2.4908581804392749</v>
      </c>
      <c r="AM15">
        <v>12</v>
      </c>
      <c r="AN15">
        <v>1</v>
      </c>
      <c r="AO15">
        <v>1.5782452852580535</v>
      </c>
      <c r="AP15">
        <v>-4.5594139453017801</v>
      </c>
      <c r="AQ15">
        <v>-10.289177480588283</v>
      </c>
      <c r="AR15">
        <v>-4.1025696448364268</v>
      </c>
      <c r="AS15">
        <v>224</v>
      </c>
      <c r="AT15" t="s">
        <v>73</v>
      </c>
      <c r="AU15" t="s">
        <v>60</v>
      </c>
      <c r="AV15" t="s">
        <v>84</v>
      </c>
      <c r="AW15" t="s">
        <v>60</v>
      </c>
      <c r="AX15" t="s">
        <v>84</v>
      </c>
      <c r="AY15" t="s">
        <v>97</v>
      </c>
    </row>
    <row r="16" spans="1:51" x14ac:dyDescent="0.75">
      <c r="A16" t="s">
        <v>180</v>
      </c>
      <c r="B16" t="s">
        <v>52</v>
      </c>
      <c r="C16" t="s">
        <v>53</v>
      </c>
      <c r="D16" t="s">
        <v>181</v>
      </c>
      <c r="E16" t="s">
        <v>182</v>
      </c>
      <c r="F16" t="s">
        <v>56</v>
      </c>
      <c r="H16" t="s">
        <v>137</v>
      </c>
      <c r="K16" t="s">
        <v>88</v>
      </c>
      <c r="P16" t="s">
        <v>158</v>
      </c>
      <c r="Q16" t="s">
        <v>183</v>
      </c>
      <c r="T16" t="s">
        <v>66</v>
      </c>
      <c r="U16">
        <v>1</v>
      </c>
      <c r="W16" t="s">
        <v>79</v>
      </c>
      <c r="X16" t="s">
        <v>80</v>
      </c>
      <c r="Y16" t="s">
        <v>68</v>
      </c>
      <c r="Z16" t="s">
        <v>69</v>
      </c>
      <c r="AA16">
        <v>95.9</v>
      </c>
      <c r="AB16" t="s">
        <v>65</v>
      </c>
      <c r="AC16">
        <v>8</v>
      </c>
      <c r="AD16">
        <v>54.099999999999994</v>
      </c>
      <c r="AE16" t="s">
        <v>184</v>
      </c>
      <c r="AF16">
        <v>125.4</v>
      </c>
      <c r="AG16">
        <v>8</v>
      </c>
      <c r="AH16">
        <v>29.019999999999982</v>
      </c>
      <c r="AI16" t="s">
        <v>185</v>
      </c>
      <c r="AJ16" t="s">
        <v>74</v>
      </c>
      <c r="AK16">
        <v>0.64237653853729237</v>
      </c>
      <c r="AL16">
        <v>0.26289523803947357</v>
      </c>
      <c r="AM16">
        <v>16</v>
      </c>
      <c r="AN16">
        <v>1</v>
      </c>
      <c r="AO16">
        <v>0.51273310604979816</v>
      </c>
      <c r="AP16">
        <v>1.252847789537707</v>
      </c>
      <c r="AQ16">
        <v>-0.36256188300166792</v>
      </c>
      <c r="AR16">
        <v>1.6473149600762527</v>
      </c>
      <c r="AS16">
        <v>234</v>
      </c>
      <c r="AT16" t="s">
        <v>95</v>
      </c>
      <c r="AU16" t="s">
        <v>60</v>
      </c>
      <c r="AV16" t="s">
        <v>74</v>
      </c>
      <c r="AW16" t="s">
        <v>74</v>
      </c>
      <c r="AX16" t="s">
        <v>74</v>
      </c>
      <c r="AY16" t="s">
        <v>97</v>
      </c>
    </row>
    <row r="17" spans="1:51" x14ac:dyDescent="0.75">
      <c r="A17" t="s">
        <v>186</v>
      </c>
      <c r="B17" t="s">
        <v>52</v>
      </c>
      <c r="C17" t="s">
        <v>53</v>
      </c>
      <c r="D17" t="s">
        <v>187</v>
      </c>
      <c r="E17" t="s">
        <v>188</v>
      </c>
      <c r="H17" t="s">
        <v>128</v>
      </c>
      <c r="I17" t="s">
        <v>189</v>
      </c>
      <c r="K17" t="s">
        <v>78</v>
      </c>
      <c r="Q17" t="s">
        <v>63</v>
      </c>
      <c r="R17" t="s">
        <v>103</v>
      </c>
      <c r="T17" t="s">
        <v>66</v>
      </c>
      <c r="U17">
        <v>1</v>
      </c>
      <c r="V17" t="s">
        <v>67</v>
      </c>
      <c r="W17" t="s">
        <v>79</v>
      </c>
      <c r="X17" t="s">
        <v>80</v>
      </c>
      <c r="Y17" t="s">
        <v>68</v>
      </c>
      <c r="Z17" t="s">
        <v>69</v>
      </c>
      <c r="AA17">
        <v>75.5</v>
      </c>
      <c r="AB17" t="s">
        <v>57</v>
      </c>
      <c r="AC17">
        <v>6</v>
      </c>
      <c r="AD17">
        <v>11.708560970503591</v>
      </c>
      <c r="AE17" t="s">
        <v>190</v>
      </c>
      <c r="AF17">
        <v>206.84</v>
      </c>
      <c r="AG17">
        <v>6</v>
      </c>
      <c r="AH17">
        <v>102.58463042775949</v>
      </c>
      <c r="AI17" t="s">
        <v>191</v>
      </c>
      <c r="AJ17" t="s">
        <v>72</v>
      </c>
      <c r="AK17">
        <v>1.6599736746740841</v>
      </c>
      <c r="AL17">
        <v>0.44814635835879091</v>
      </c>
      <c r="AM17">
        <v>12</v>
      </c>
      <c r="AN17">
        <v>1</v>
      </c>
      <c r="AO17">
        <v>0.6694373446102263</v>
      </c>
      <c r="AP17">
        <v>2.4796550237880566</v>
      </c>
      <c r="AQ17">
        <v>0.34790058933191181</v>
      </c>
      <c r="AR17">
        <v>2.9720467600162563</v>
      </c>
      <c r="AS17">
        <v>242</v>
      </c>
      <c r="AT17" t="s">
        <v>95</v>
      </c>
      <c r="AU17" t="s">
        <v>60</v>
      </c>
      <c r="AV17" t="s">
        <v>74</v>
      </c>
      <c r="AW17" t="s">
        <v>74</v>
      </c>
      <c r="AX17" t="s">
        <v>96</v>
      </c>
      <c r="AY17" t="s">
        <v>96</v>
      </c>
    </row>
    <row r="18" spans="1:51" x14ac:dyDescent="0.75">
      <c r="A18" t="s">
        <v>192</v>
      </c>
      <c r="B18" t="s">
        <v>52</v>
      </c>
      <c r="C18" t="s">
        <v>53</v>
      </c>
      <c r="D18" t="s">
        <v>193</v>
      </c>
      <c r="E18" t="s">
        <v>194</v>
      </c>
      <c r="H18" t="s">
        <v>101</v>
      </c>
      <c r="P18" t="s">
        <v>146</v>
      </c>
      <c r="Q18" t="s">
        <v>102</v>
      </c>
      <c r="R18" t="s">
        <v>64</v>
      </c>
      <c r="T18" t="s">
        <v>66</v>
      </c>
      <c r="U18">
        <v>0.5</v>
      </c>
      <c r="V18" t="s">
        <v>91</v>
      </c>
      <c r="W18" t="s">
        <v>79</v>
      </c>
      <c r="X18" t="s">
        <v>139</v>
      </c>
      <c r="Y18" t="s">
        <v>68</v>
      </c>
      <c r="AA18">
        <v>119.4</v>
      </c>
      <c r="AB18" t="s">
        <v>57</v>
      </c>
      <c r="AC18">
        <v>6</v>
      </c>
      <c r="AD18">
        <v>26.601458606625311</v>
      </c>
      <c r="AE18" t="s">
        <v>195</v>
      </c>
      <c r="AF18">
        <v>17.260000000000002</v>
      </c>
      <c r="AG18">
        <v>6</v>
      </c>
      <c r="AH18">
        <v>18.395667968301666</v>
      </c>
      <c r="AI18" t="s">
        <v>196</v>
      </c>
      <c r="AJ18" t="s">
        <v>102</v>
      </c>
      <c r="AK18">
        <v>-4.1211561081427517</v>
      </c>
      <c r="AL18">
        <v>1.0409969861534296</v>
      </c>
      <c r="AM18">
        <v>12</v>
      </c>
      <c r="AN18">
        <v>1</v>
      </c>
      <c r="AO18">
        <v>1.0202925983037561</v>
      </c>
      <c r="AP18">
        <v>-4.0391904390899276</v>
      </c>
      <c r="AQ18">
        <v>-6.120892854510906</v>
      </c>
      <c r="AR18">
        <v>-2.1214193617745973</v>
      </c>
      <c r="AS18">
        <v>247</v>
      </c>
      <c r="AT18" t="s">
        <v>73</v>
      </c>
      <c r="AU18" t="s">
        <v>60</v>
      </c>
      <c r="AV18" t="s">
        <v>84</v>
      </c>
      <c r="AW18" t="s">
        <v>60</v>
      </c>
      <c r="AX18" t="s">
        <v>84</v>
      </c>
      <c r="AY18" t="s">
        <v>84</v>
      </c>
    </row>
    <row r="19" spans="1:51" x14ac:dyDescent="0.75">
      <c r="A19" t="s">
        <v>197</v>
      </c>
      <c r="B19" t="s">
        <v>52</v>
      </c>
      <c r="C19" t="s">
        <v>53</v>
      </c>
      <c r="D19" t="s">
        <v>198</v>
      </c>
      <c r="E19" t="s">
        <v>199</v>
      </c>
      <c r="P19" t="s">
        <v>158</v>
      </c>
      <c r="Q19" t="s">
        <v>63</v>
      </c>
      <c r="R19" t="s">
        <v>64</v>
      </c>
      <c r="T19" t="s">
        <v>66</v>
      </c>
      <c r="U19">
        <v>1</v>
      </c>
      <c r="V19" t="s">
        <v>91</v>
      </c>
      <c r="W19" t="s">
        <v>79</v>
      </c>
      <c r="X19" t="s">
        <v>139</v>
      </c>
      <c r="Y19" t="s">
        <v>68</v>
      </c>
      <c r="Z19" t="s">
        <v>69</v>
      </c>
      <c r="AA19">
        <v>82.17</v>
      </c>
      <c r="AB19" t="s">
        <v>200</v>
      </c>
      <c r="AC19">
        <v>7</v>
      </c>
      <c r="AD19">
        <v>8.6251492740705658</v>
      </c>
      <c r="AE19" t="s">
        <v>201</v>
      </c>
      <c r="AF19">
        <v>80.86</v>
      </c>
      <c r="AG19">
        <v>7</v>
      </c>
      <c r="AH19">
        <v>9.4982472067218904</v>
      </c>
      <c r="AI19" t="s">
        <v>202</v>
      </c>
      <c r="AJ19" t="s">
        <v>72</v>
      </c>
      <c r="AK19">
        <v>-0.13514723731638117</v>
      </c>
      <c r="AL19">
        <v>0.28636659913408036</v>
      </c>
      <c r="AM19">
        <v>14</v>
      </c>
      <c r="AN19">
        <v>1</v>
      </c>
      <c r="AO19">
        <v>0.5351323192763453</v>
      </c>
      <c r="AP19">
        <v>-0.25254919661578201</v>
      </c>
      <c r="AQ19">
        <v>-1.1839873100614071</v>
      </c>
      <c r="AR19">
        <v>0.91369283542864488</v>
      </c>
      <c r="AS19">
        <v>255</v>
      </c>
      <c r="AT19" t="s">
        <v>73</v>
      </c>
      <c r="AU19" t="s">
        <v>60</v>
      </c>
      <c r="AV19" t="s">
        <v>96</v>
      </c>
      <c r="AW19" t="s">
        <v>74</v>
      </c>
      <c r="AX19" t="s">
        <v>74</v>
      </c>
      <c r="AY19" t="s">
        <v>114</v>
      </c>
    </row>
    <row r="20" spans="1:51" x14ac:dyDescent="0.75">
      <c r="A20" t="s">
        <v>203</v>
      </c>
      <c r="B20" t="s">
        <v>52</v>
      </c>
      <c r="C20" t="s">
        <v>53</v>
      </c>
      <c r="D20" t="s">
        <v>204</v>
      </c>
      <c r="E20" t="s">
        <v>205</v>
      </c>
      <c r="M20" t="s">
        <v>164</v>
      </c>
      <c r="N20" t="s">
        <v>206</v>
      </c>
      <c r="P20" t="s">
        <v>207</v>
      </c>
      <c r="Q20" t="s">
        <v>63</v>
      </c>
      <c r="R20" t="s">
        <v>64</v>
      </c>
      <c r="T20" t="s">
        <v>66</v>
      </c>
      <c r="U20">
        <v>1</v>
      </c>
      <c r="V20" t="s">
        <v>67</v>
      </c>
      <c r="W20" t="s">
        <v>79</v>
      </c>
      <c r="X20" t="s">
        <v>80</v>
      </c>
      <c r="Y20" t="s">
        <v>68</v>
      </c>
      <c r="Z20" t="s">
        <v>69</v>
      </c>
      <c r="AA20">
        <v>126.8</v>
      </c>
      <c r="AB20" t="s">
        <v>57</v>
      </c>
      <c r="AC20">
        <v>6</v>
      </c>
      <c r="AD20">
        <v>13.227244611029162</v>
      </c>
      <c r="AE20" t="s">
        <v>208</v>
      </c>
      <c r="AF20">
        <v>177.8</v>
      </c>
      <c r="AG20">
        <v>6</v>
      </c>
      <c r="AH20">
        <v>21.800458710770283</v>
      </c>
      <c r="AI20" t="s">
        <v>209</v>
      </c>
      <c r="AJ20" t="s">
        <v>72</v>
      </c>
      <c r="AK20">
        <v>2.6099789148782793</v>
      </c>
      <c r="AL20">
        <v>0.61716624733788339</v>
      </c>
      <c r="AM20">
        <v>12</v>
      </c>
      <c r="AN20">
        <v>1</v>
      </c>
      <c r="AO20">
        <v>0.78559929183896504</v>
      </c>
      <c r="AP20">
        <v>3.3222775809391667</v>
      </c>
      <c r="AQ20">
        <v>1.0702325965937367</v>
      </c>
      <c r="AR20">
        <v>4.1497252331628216</v>
      </c>
      <c r="AS20">
        <v>300</v>
      </c>
      <c r="AT20" t="s">
        <v>95</v>
      </c>
      <c r="AU20" t="s">
        <v>60</v>
      </c>
      <c r="AV20" t="s">
        <v>74</v>
      </c>
      <c r="AW20" t="s">
        <v>74</v>
      </c>
      <c r="AX20" t="s">
        <v>96</v>
      </c>
      <c r="AY20" t="s">
        <v>96</v>
      </c>
    </row>
    <row r="21" spans="1:51" x14ac:dyDescent="0.75">
      <c r="A21" t="s">
        <v>210</v>
      </c>
      <c r="B21" t="s">
        <v>52</v>
      </c>
      <c r="C21" t="s">
        <v>53</v>
      </c>
      <c r="D21" t="s">
        <v>211</v>
      </c>
      <c r="E21" t="s">
        <v>212</v>
      </c>
      <c r="K21" t="s">
        <v>78</v>
      </c>
      <c r="P21" t="s">
        <v>213</v>
      </c>
      <c r="Q21" t="s">
        <v>63</v>
      </c>
      <c r="R21" t="s">
        <v>64</v>
      </c>
      <c r="T21" t="s">
        <v>66</v>
      </c>
      <c r="U21">
        <v>0.2</v>
      </c>
      <c r="V21" t="s">
        <v>91</v>
      </c>
      <c r="W21" t="s">
        <v>79</v>
      </c>
      <c r="X21" t="s">
        <v>80</v>
      </c>
      <c r="Y21" t="s">
        <v>68</v>
      </c>
      <c r="Z21" t="s">
        <v>69</v>
      </c>
      <c r="AA21">
        <v>88.25</v>
      </c>
      <c r="AB21" t="s">
        <v>51</v>
      </c>
      <c r="AC21">
        <v>10</v>
      </c>
      <c r="AD21">
        <v>13.787530598334136</v>
      </c>
      <c r="AE21" t="s">
        <v>214</v>
      </c>
      <c r="AF21">
        <v>117.31</v>
      </c>
      <c r="AG21">
        <v>10</v>
      </c>
      <c r="AH21">
        <v>30.990321069650122</v>
      </c>
      <c r="AI21" t="s">
        <v>215</v>
      </c>
      <c r="AJ21" t="s">
        <v>72</v>
      </c>
      <c r="AK21">
        <v>1.1603078859672529</v>
      </c>
      <c r="AL21">
        <v>0.23365785975594489</v>
      </c>
      <c r="AM21">
        <v>20</v>
      </c>
      <c r="AN21">
        <v>1</v>
      </c>
      <c r="AO21">
        <v>0.483381691581244</v>
      </c>
      <c r="AP21">
        <v>2.400396842031066</v>
      </c>
      <c r="AQ21">
        <v>0.21289717968196653</v>
      </c>
      <c r="AR21">
        <v>2.1077185922525392</v>
      </c>
      <c r="AS21">
        <v>335</v>
      </c>
      <c r="AT21" t="s">
        <v>95</v>
      </c>
      <c r="AU21" t="s">
        <v>60</v>
      </c>
      <c r="AV21" t="s">
        <v>74</v>
      </c>
      <c r="AW21" t="s">
        <v>74</v>
      </c>
      <c r="AX21" t="s">
        <v>74</v>
      </c>
      <c r="AY21" t="s">
        <v>96</v>
      </c>
    </row>
    <row r="22" spans="1:51" x14ac:dyDescent="0.75">
      <c r="A22" t="s">
        <v>216</v>
      </c>
      <c r="B22" t="s">
        <v>52</v>
      </c>
      <c r="C22" t="s">
        <v>53</v>
      </c>
      <c r="D22" t="s">
        <v>217</v>
      </c>
      <c r="E22" t="s">
        <v>218</v>
      </c>
      <c r="H22" t="s">
        <v>119</v>
      </c>
      <c r="L22" t="s">
        <v>60</v>
      </c>
      <c r="Q22" t="s">
        <v>63</v>
      </c>
      <c r="R22" t="s">
        <v>64</v>
      </c>
      <c r="S22" t="s">
        <v>219</v>
      </c>
      <c r="T22" t="s">
        <v>66</v>
      </c>
      <c r="U22">
        <v>2</v>
      </c>
      <c r="V22" t="s">
        <v>91</v>
      </c>
      <c r="Y22" t="s">
        <v>68</v>
      </c>
      <c r="Z22" t="s">
        <v>220</v>
      </c>
      <c r="AA22">
        <v>90.55</v>
      </c>
      <c r="AB22" t="s">
        <v>78</v>
      </c>
      <c r="AC22">
        <v>7</v>
      </c>
      <c r="AD22">
        <v>28.335996541501789</v>
      </c>
      <c r="AE22" t="s">
        <v>221</v>
      </c>
      <c r="AF22">
        <v>17.28</v>
      </c>
      <c r="AG22">
        <v>7</v>
      </c>
      <c r="AH22">
        <v>10.953410427807405</v>
      </c>
      <c r="AI22" t="s">
        <v>222</v>
      </c>
      <c r="AJ22" t="s">
        <v>72</v>
      </c>
      <c r="AK22">
        <v>-3.1923561188797382</v>
      </c>
      <c r="AL22">
        <v>0.64968348534817522</v>
      </c>
      <c r="AM22">
        <v>14</v>
      </c>
      <c r="AN22">
        <v>1</v>
      </c>
      <c r="AO22">
        <v>0.80602945687373928</v>
      </c>
      <c r="AP22">
        <v>-3.9605948537682361</v>
      </c>
      <c r="AQ22">
        <v>-4.7721448248306473</v>
      </c>
      <c r="AR22">
        <v>-1.6125674129288288</v>
      </c>
      <c r="AS22">
        <v>341</v>
      </c>
      <c r="AT22" t="s">
        <v>73</v>
      </c>
      <c r="AU22" t="s">
        <v>60</v>
      </c>
      <c r="AV22" t="s">
        <v>74</v>
      </c>
      <c r="AW22" t="s">
        <v>74</v>
      </c>
      <c r="AX22" t="s">
        <v>74</v>
      </c>
      <c r="AY22" t="s">
        <v>97</v>
      </c>
    </row>
    <row r="23" spans="1:51" x14ac:dyDescent="0.75">
      <c r="A23" t="s">
        <v>223</v>
      </c>
      <c r="B23" t="s">
        <v>52</v>
      </c>
      <c r="C23" t="s">
        <v>53</v>
      </c>
      <c r="D23" t="s">
        <v>224</v>
      </c>
      <c r="E23" t="s">
        <v>225</v>
      </c>
      <c r="H23" t="s">
        <v>137</v>
      </c>
      <c r="I23" t="s">
        <v>80</v>
      </c>
      <c r="P23" t="s">
        <v>226</v>
      </c>
      <c r="Q23" t="s">
        <v>63</v>
      </c>
      <c r="R23" t="s">
        <v>103</v>
      </c>
      <c r="S23" t="s">
        <v>200</v>
      </c>
      <c r="T23" t="s">
        <v>66</v>
      </c>
      <c r="U23">
        <v>1</v>
      </c>
      <c r="V23" t="s">
        <v>67</v>
      </c>
      <c r="W23" t="s">
        <v>79</v>
      </c>
      <c r="X23" t="s">
        <v>80</v>
      </c>
      <c r="Y23" t="s">
        <v>68</v>
      </c>
      <c r="Z23" t="s">
        <v>81</v>
      </c>
      <c r="AA23">
        <v>160.94</v>
      </c>
      <c r="AB23" t="s">
        <v>57</v>
      </c>
      <c r="AC23">
        <v>6</v>
      </c>
      <c r="AD23">
        <v>34.330000000000013</v>
      </c>
      <c r="AE23" t="s">
        <v>227</v>
      </c>
      <c r="AF23">
        <v>112.66</v>
      </c>
      <c r="AG23">
        <v>6</v>
      </c>
      <c r="AH23">
        <v>27.890000000000015</v>
      </c>
      <c r="AI23" t="s">
        <v>228</v>
      </c>
      <c r="AJ23" t="s">
        <v>72</v>
      </c>
      <c r="AK23">
        <v>-1.4244109643217102</v>
      </c>
      <c r="AL23">
        <v>0.41787277480332935</v>
      </c>
      <c r="AM23">
        <v>12</v>
      </c>
      <c r="AN23">
        <v>1</v>
      </c>
      <c r="AO23">
        <v>0.64643079660805869</v>
      </c>
      <c r="AP23">
        <v>-2.2035010890506093</v>
      </c>
      <c r="AQ23">
        <v>-2.6913920441710419</v>
      </c>
      <c r="AR23">
        <v>-0.15742988447237849</v>
      </c>
      <c r="AS23">
        <v>344</v>
      </c>
      <c r="AT23" t="s">
        <v>73</v>
      </c>
      <c r="AU23" t="s">
        <v>60</v>
      </c>
      <c r="AV23" t="s">
        <v>74</v>
      </c>
      <c r="AW23" t="s">
        <v>74</v>
      </c>
      <c r="AX23" t="s">
        <v>84</v>
      </c>
      <c r="AY23" t="s">
        <v>97</v>
      </c>
    </row>
    <row r="24" spans="1:51" x14ac:dyDescent="0.75">
      <c r="A24" t="s">
        <v>229</v>
      </c>
      <c r="B24" t="s">
        <v>52</v>
      </c>
      <c r="C24" t="s">
        <v>53</v>
      </c>
      <c r="D24" t="s">
        <v>230</v>
      </c>
      <c r="E24" t="s">
        <v>231</v>
      </c>
      <c r="H24" t="s">
        <v>137</v>
      </c>
      <c r="I24" t="s">
        <v>232</v>
      </c>
      <c r="P24" t="s">
        <v>158</v>
      </c>
      <c r="Q24" t="s">
        <v>63</v>
      </c>
      <c r="R24" t="s">
        <v>103</v>
      </c>
      <c r="T24" t="s">
        <v>66</v>
      </c>
      <c r="U24">
        <v>1</v>
      </c>
      <c r="V24" t="s">
        <v>91</v>
      </c>
      <c r="W24" t="s">
        <v>79</v>
      </c>
      <c r="X24" t="s">
        <v>139</v>
      </c>
      <c r="Y24" t="s">
        <v>68</v>
      </c>
      <c r="Z24" t="s">
        <v>69</v>
      </c>
      <c r="AA24">
        <v>55.75</v>
      </c>
      <c r="AB24" t="s">
        <v>65</v>
      </c>
      <c r="AC24">
        <v>8</v>
      </c>
      <c r="AD24">
        <v>8.3721442892487232</v>
      </c>
      <c r="AE24" t="s">
        <v>233</v>
      </c>
      <c r="AF24">
        <v>40.869999999999997</v>
      </c>
      <c r="AG24">
        <v>8</v>
      </c>
      <c r="AH24">
        <v>6.9579307268756283</v>
      </c>
      <c r="AI24" t="s">
        <v>234</v>
      </c>
      <c r="AJ24" t="s">
        <v>72</v>
      </c>
      <c r="AK24">
        <v>-1.8273111855963338</v>
      </c>
      <c r="AL24">
        <v>0.35434581778142121</v>
      </c>
      <c r="AM24">
        <v>16</v>
      </c>
      <c r="AN24">
        <v>1</v>
      </c>
      <c r="AO24">
        <v>0.59526953372520353</v>
      </c>
      <c r="AP24">
        <v>-3.0697206594145672</v>
      </c>
      <c r="AQ24">
        <v>-2.9940180327916837</v>
      </c>
      <c r="AR24">
        <v>-0.66060433840098387</v>
      </c>
      <c r="AS24">
        <v>375</v>
      </c>
      <c r="AT24" t="s">
        <v>73</v>
      </c>
      <c r="AU24" t="s">
        <v>60</v>
      </c>
      <c r="AV24" t="s">
        <v>74</v>
      </c>
      <c r="AW24" t="s">
        <v>74</v>
      </c>
      <c r="AX24" t="s">
        <v>84</v>
      </c>
      <c r="AY24" t="s">
        <v>74</v>
      </c>
    </row>
    <row r="25" spans="1:51" x14ac:dyDescent="0.75">
      <c r="A25" t="s">
        <v>235</v>
      </c>
      <c r="B25" t="s">
        <v>52</v>
      </c>
      <c r="C25" t="s">
        <v>53</v>
      </c>
      <c r="D25" t="s">
        <v>236</v>
      </c>
      <c r="E25" t="s">
        <v>237</v>
      </c>
      <c r="F25" t="s">
        <v>56</v>
      </c>
      <c r="G25" t="s">
        <v>69</v>
      </c>
      <c r="H25" t="s">
        <v>92</v>
      </c>
      <c r="P25" t="s">
        <v>238</v>
      </c>
      <c r="Q25" t="s">
        <v>239</v>
      </c>
      <c r="R25" t="s">
        <v>64</v>
      </c>
      <c r="S25" t="s">
        <v>219</v>
      </c>
      <c r="T25" t="s">
        <v>66</v>
      </c>
      <c r="U25">
        <v>1.5</v>
      </c>
      <c r="V25" t="s">
        <v>67</v>
      </c>
      <c r="W25" t="s">
        <v>79</v>
      </c>
      <c r="X25" t="s">
        <v>80</v>
      </c>
      <c r="Y25" t="s">
        <v>68</v>
      </c>
      <c r="Z25" t="s">
        <v>69</v>
      </c>
      <c r="AA25">
        <v>138.5</v>
      </c>
      <c r="AB25" t="s">
        <v>200</v>
      </c>
      <c r="AC25">
        <v>7</v>
      </c>
      <c r="AD25">
        <v>42.06744584592699</v>
      </c>
      <c r="AE25" t="s">
        <v>240</v>
      </c>
      <c r="AF25">
        <v>141.30000000000001</v>
      </c>
      <c r="AG25">
        <v>7</v>
      </c>
      <c r="AH25">
        <v>26.457513110645905</v>
      </c>
      <c r="AI25" t="s">
        <v>51</v>
      </c>
      <c r="AJ25" t="s">
        <v>239</v>
      </c>
      <c r="AK25">
        <v>7.4576572643967803E-2</v>
      </c>
      <c r="AL25">
        <v>0.28591291661383289</v>
      </c>
      <c r="AM25">
        <v>14</v>
      </c>
      <c r="AN25">
        <v>1</v>
      </c>
      <c r="AO25">
        <v>0.53470825373640241</v>
      </c>
      <c r="AP25">
        <v>0.13947151951152068</v>
      </c>
      <c r="AQ25">
        <v>-0.97343234691568559</v>
      </c>
      <c r="AR25">
        <v>1.1225854922036211</v>
      </c>
      <c r="AS25">
        <v>383</v>
      </c>
      <c r="AT25" t="s">
        <v>95</v>
      </c>
      <c r="AU25" t="s">
        <v>60</v>
      </c>
      <c r="AV25" t="s">
        <v>74</v>
      </c>
      <c r="AW25" t="s">
        <v>74</v>
      </c>
      <c r="AX25" t="s">
        <v>74</v>
      </c>
      <c r="AY25" t="s">
        <v>84</v>
      </c>
    </row>
    <row r="26" spans="1:51" x14ac:dyDescent="0.75">
      <c r="A26" t="s">
        <v>241</v>
      </c>
      <c r="B26" t="s">
        <v>52</v>
      </c>
      <c r="C26" t="s">
        <v>53</v>
      </c>
      <c r="D26" t="s">
        <v>242</v>
      </c>
      <c r="E26" t="s">
        <v>243</v>
      </c>
      <c r="H26" t="s">
        <v>128</v>
      </c>
      <c r="I26" t="s">
        <v>80</v>
      </c>
      <c r="P26" t="s">
        <v>244</v>
      </c>
      <c r="Q26" t="s">
        <v>63</v>
      </c>
      <c r="R26" t="s">
        <v>64</v>
      </c>
      <c r="T26" t="s">
        <v>66</v>
      </c>
      <c r="U26">
        <v>1</v>
      </c>
      <c r="V26" t="s">
        <v>67</v>
      </c>
      <c r="W26" t="s">
        <v>79</v>
      </c>
      <c r="X26" t="s">
        <v>80</v>
      </c>
      <c r="Y26" t="s">
        <v>68</v>
      </c>
      <c r="Z26" t="s">
        <v>81</v>
      </c>
      <c r="AA26">
        <v>86.33</v>
      </c>
      <c r="AB26" t="s">
        <v>69</v>
      </c>
      <c r="AC26">
        <v>5</v>
      </c>
      <c r="AD26">
        <v>3.5106267246746703</v>
      </c>
      <c r="AE26" t="s">
        <v>245</v>
      </c>
      <c r="AF26">
        <v>6.33</v>
      </c>
      <c r="AG26">
        <v>5</v>
      </c>
      <c r="AH26">
        <v>1.5205262246998572</v>
      </c>
      <c r="AI26" t="s">
        <v>246</v>
      </c>
      <c r="AJ26" t="s">
        <v>72</v>
      </c>
      <c r="AK26">
        <v>-26.695091426962463</v>
      </c>
      <c r="AL26">
        <v>36.031395314694244</v>
      </c>
      <c r="AM26">
        <v>10</v>
      </c>
      <c r="AN26">
        <v>1</v>
      </c>
      <c r="AO26">
        <v>6.0026157060646685</v>
      </c>
      <c r="AP26">
        <v>-4.4472431243585042</v>
      </c>
      <c r="AQ26">
        <v>-38.460002023883682</v>
      </c>
      <c r="AR26">
        <v>-14.930180830041246</v>
      </c>
      <c r="AS26">
        <v>388</v>
      </c>
      <c r="AT26" t="s">
        <v>73</v>
      </c>
      <c r="AU26" t="s">
        <v>60</v>
      </c>
      <c r="AV26" t="s">
        <v>84</v>
      </c>
      <c r="AW26" t="s">
        <v>60</v>
      </c>
      <c r="AX26" t="s">
        <v>84</v>
      </c>
      <c r="AY26" t="s">
        <v>97</v>
      </c>
    </row>
    <row r="27" spans="1:51" x14ac:dyDescent="0.75">
      <c r="A27" t="s">
        <v>247</v>
      </c>
      <c r="B27" t="s">
        <v>52</v>
      </c>
      <c r="C27" t="s">
        <v>53</v>
      </c>
      <c r="D27" t="s">
        <v>248</v>
      </c>
      <c r="E27" t="s">
        <v>249</v>
      </c>
      <c r="F27" t="s">
        <v>56</v>
      </c>
      <c r="G27" t="s">
        <v>51</v>
      </c>
      <c r="H27" t="s">
        <v>137</v>
      </c>
      <c r="O27" t="s">
        <v>110</v>
      </c>
      <c r="P27" t="s">
        <v>250</v>
      </c>
      <c r="Q27" t="s">
        <v>138</v>
      </c>
      <c r="R27" t="s">
        <v>103</v>
      </c>
      <c r="T27" t="s">
        <v>66</v>
      </c>
      <c r="U27">
        <v>1</v>
      </c>
      <c r="V27" t="s">
        <v>67</v>
      </c>
      <c r="W27" t="s">
        <v>79</v>
      </c>
      <c r="X27" t="s">
        <v>80</v>
      </c>
      <c r="Y27" t="s">
        <v>68</v>
      </c>
      <c r="Z27" t="s">
        <v>69</v>
      </c>
      <c r="AA27">
        <v>84.8</v>
      </c>
      <c r="AB27" t="s">
        <v>51</v>
      </c>
      <c r="AC27">
        <v>10</v>
      </c>
      <c r="AD27">
        <v>10.210000000000001</v>
      </c>
      <c r="AE27" t="s">
        <v>251</v>
      </c>
      <c r="AF27">
        <v>164.5</v>
      </c>
      <c r="AG27">
        <v>10</v>
      </c>
      <c r="AH27">
        <v>44.75</v>
      </c>
      <c r="AI27" t="s">
        <v>252</v>
      </c>
      <c r="AJ27" t="s">
        <v>74</v>
      </c>
      <c r="AK27">
        <v>2.3516147566833978</v>
      </c>
      <c r="AL27">
        <v>0.33825229909627791</v>
      </c>
      <c r="AM27">
        <v>20</v>
      </c>
      <c r="AN27">
        <v>1</v>
      </c>
      <c r="AO27">
        <v>0.58159461749252628</v>
      </c>
      <c r="AP27">
        <v>4.0433915410395231</v>
      </c>
      <c r="AQ27">
        <v>1.2117102527956976</v>
      </c>
      <c r="AR27">
        <v>3.4915192605710983</v>
      </c>
      <c r="AS27">
        <v>402</v>
      </c>
      <c r="AT27" t="s">
        <v>95</v>
      </c>
      <c r="AU27" t="s">
        <v>60</v>
      </c>
      <c r="AV27" t="s">
        <v>74</v>
      </c>
      <c r="AW27" t="s">
        <v>74</v>
      </c>
      <c r="AX27" t="s">
        <v>96</v>
      </c>
      <c r="AY27" t="s">
        <v>96</v>
      </c>
    </row>
    <row r="28" spans="1:51" x14ac:dyDescent="0.75">
      <c r="A28" t="s">
        <v>253</v>
      </c>
      <c r="B28" t="s">
        <v>52</v>
      </c>
      <c r="C28" t="s">
        <v>53</v>
      </c>
      <c r="D28" t="s">
        <v>254</v>
      </c>
      <c r="E28" t="s">
        <v>255</v>
      </c>
      <c r="H28" t="s">
        <v>137</v>
      </c>
      <c r="L28" t="s">
        <v>60</v>
      </c>
      <c r="Q28" t="s">
        <v>256</v>
      </c>
      <c r="R28" t="s">
        <v>64</v>
      </c>
      <c r="T28" t="s">
        <v>66</v>
      </c>
      <c r="U28">
        <v>2</v>
      </c>
      <c r="V28" t="s">
        <v>91</v>
      </c>
      <c r="W28" t="s">
        <v>79</v>
      </c>
      <c r="X28" t="s">
        <v>137</v>
      </c>
      <c r="Y28" t="s">
        <v>68</v>
      </c>
      <c r="Z28" t="s">
        <v>69</v>
      </c>
      <c r="AA28">
        <v>31.86</v>
      </c>
      <c r="AB28" t="s">
        <v>118</v>
      </c>
      <c r="AC28">
        <v>15</v>
      </c>
      <c r="AD28">
        <v>6.7389910224009055</v>
      </c>
      <c r="AE28" t="s">
        <v>257</v>
      </c>
      <c r="AF28">
        <v>18.16</v>
      </c>
      <c r="AG28">
        <v>15</v>
      </c>
      <c r="AH28">
        <v>9.1015108635874302</v>
      </c>
      <c r="AI28" t="s">
        <v>258</v>
      </c>
      <c r="AJ28" t="s">
        <v>259</v>
      </c>
      <c r="AK28">
        <v>-1.6645117966990937</v>
      </c>
      <c r="AL28">
        <v>0.17950999202250742</v>
      </c>
      <c r="AM28">
        <v>30</v>
      </c>
      <c r="AN28">
        <v>1</v>
      </c>
      <c r="AO28">
        <v>0.42368619522295908</v>
      </c>
      <c r="AP28">
        <v>-3.928642980267901</v>
      </c>
      <c r="AQ28">
        <v>-2.4949214800828998</v>
      </c>
      <c r="AR28">
        <v>-0.83410211331528761</v>
      </c>
      <c r="AS28">
        <v>409</v>
      </c>
      <c r="AT28" t="s">
        <v>73</v>
      </c>
      <c r="AU28" t="s">
        <v>60</v>
      </c>
      <c r="AV28" t="s">
        <v>84</v>
      </c>
      <c r="AW28" t="s">
        <v>60</v>
      </c>
      <c r="AX28" t="s">
        <v>84</v>
      </c>
      <c r="AY28" t="s">
        <v>97</v>
      </c>
    </row>
    <row r="29" spans="1:51" x14ac:dyDescent="0.75">
      <c r="A29" t="s">
        <v>260</v>
      </c>
      <c r="B29" t="s">
        <v>52</v>
      </c>
      <c r="C29" t="s">
        <v>53</v>
      </c>
      <c r="D29" t="s">
        <v>261</v>
      </c>
      <c r="E29" t="s">
        <v>262</v>
      </c>
      <c r="P29" t="s">
        <v>207</v>
      </c>
      <c r="T29" t="s">
        <v>66</v>
      </c>
      <c r="U29">
        <v>1</v>
      </c>
      <c r="V29" t="s">
        <v>91</v>
      </c>
      <c r="W29" t="s">
        <v>79</v>
      </c>
      <c r="X29" t="s">
        <v>139</v>
      </c>
      <c r="Y29" t="s">
        <v>68</v>
      </c>
      <c r="Z29" t="s">
        <v>69</v>
      </c>
      <c r="AA29">
        <v>84.85</v>
      </c>
      <c r="AB29" t="s">
        <v>57</v>
      </c>
      <c r="AC29">
        <v>6</v>
      </c>
      <c r="AD29">
        <v>3.8701937935974211</v>
      </c>
      <c r="AE29" t="s">
        <v>263</v>
      </c>
      <c r="AF29">
        <v>172.8</v>
      </c>
      <c r="AG29">
        <v>6</v>
      </c>
      <c r="AH29">
        <v>3.3313060501851219</v>
      </c>
      <c r="AI29" t="s">
        <v>264</v>
      </c>
      <c r="AJ29" t="s">
        <v>74</v>
      </c>
      <c r="AK29">
        <v>22.475654231221505</v>
      </c>
      <c r="AL29">
        <v>21.381459713392712</v>
      </c>
      <c r="AM29">
        <v>12</v>
      </c>
      <c r="AN29">
        <v>1</v>
      </c>
      <c r="AO29">
        <v>4.6240090520448502</v>
      </c>
      <c r="AP29">
        <v>4.860642351312487</v>
      </c>
      <c r="AQ29">
        <v>13.412763025026402</v>
      </c>
      <c r="AR29">
        <v>31.538545437416609</v>
      </c>
      <c r="AS29">
        <v>425</v>
      </c>
      <c r="AT29" t="s">
        <v>95</v>
      </c>
      <c r="AU29" t="s">
        <v>60</v>
      </c>
      <c r="AV29" t="s">
        <v>74</v>
      </c>
      <c r="AW29" t="s">
        <v>60</v>
      </c>
      <c r="AX29" t="s">
        <v>96</v>
      </c>
      <c r="AY29" t="s">
        <v>96</v>
      </c>
    </row>
    <row r="30" spans="1:51" x14ac:dyDescent="0.75">
      <c r="A30" t="s">
        <v>265</v>
      </c>
      <c r="B30" t="s">
        <v>52</v>
      </c>
      <c r="C30" t="s">
        <v>53</v>
      </c>
      <c r="D30" t="s">
        <v>266</v>
      </c>
      <c r="E30" t="s">
        <v>267</v>
      </c>
      <c r="H30" t="s">
        <v>119</v>
      </c>
      <c r="I30" t="s">
        <v>80</v>
      </c>
      <c r="P30" t="s">
        <v>268</v>
      </c>
      <c r="Q30" t="s">
        <v>63</v>
      </c>
      <c r="R30" t="s">
        <v>64</v>
      </c>
      <c r="T30" t="s">
        <v>66</v>
      </c>
      <c r="U30">
        <v>1</v>
      </c>
      <c r="Y30" t="s">
        <v>68</v>
      </c>
      <c r="Z30" t="s">
        <v>69</v>
      </c>
      <c r="AA30">
        <v>145.66999999999999</v>
      </c>
      <c r="AB30" t="s">
        <v>65</v>
      </c>
      <c r="AC30">
        <v>8</v>
      </c>
      <c r="AD30">
        <v>11.539982668964457</v>
      </c>
      <c r="AE30" t="s">
        <v>269</v>
      </c>
      <c r="AF30">
        <v>267</v>
      </c>
      <c r="AG30">
        <v>8</v>
      </c>
      <c r="AH30">
        <v>14.396694064958108</v>
      </c>
      <c r="AI30" t="s">
        <v>270</v>
      </c>
      <c r="AJ30" t="s">
        <v>72</v>
      </c>
      <c r="AK30">
        <v>8.7908217957571573</v>
      </c>
      <c r="AL30">
        <v>2.6649546201487215</v>
      </c>
      <c r="AM30">
        <v>16</v>
      </c>
      <c r="AN30">
        <v>1</v>
      </c>
      <c r="AO30">
        <v>1.6324688726431269</v>
      </c>
      <c r="AP30">
        <v>5.3849858598062923</v>
      </c>
      <c r="AQ30">
        <v>5.5912415994939249</v>
      </c>
      <c r="AR30">
        <v>11.99040199202039</v>
      </c>
      <c r="AS30">
        <v>517</v>
      </c>
      <c r="AT30" t="s">
        <v>95</v>
      </c>
      <c r="AU30" t="s">
        <v>60</v>
      </c>
      <c r="AV30" t="s">
        <v>96</v>
      </c>
      <c r="AW30" t="s">
        <v>60</v>
      </c>
      <c r="AX30" t="s">
        <v>96</v>
      </c>
      <c r="AY30" t="s">
        <v>96</v>
      </c>
    </row>
    <row r="31" spans="1:51" x14ac:dyDescent="0.75">
      <c r="A31" t="s">
        <v>271</v>
      </c>
      <c r="B31" t="s">
        <v>52</v>
      </c>
      <c r="C31" t="s">
        <v>53</v>
      </c>
      <c r="D31" t="s">
        <v>272</v>
      </c>
      <c r="P31" t="s">
        <v>273</v>
      </c>
      <c r="T31" t="s">
        <v>66</v>
      </c>
      <c r="U31">
        <v>2</v>
      </c>
      <c r="V31" t="s">
        <v>67</v>
      </c>
      <c r="W31" t="s">
        <v>79</v>
      </c>
      <c r="X31" t="s">
        <v>80</v>
      </c>
      <c r="Y31" t="s">
        <v>68</v>
      </c>
      <c r="Z31" t="s">
        <v>57</v>
      </c>
      <c r="AA31">
        <v>88.3</v>
      </c>
      <c r="AB31" t="s">
        <v>65</v>
      </c>
      <c r="AC31">
        <v>8</v>
      </c>
      <c r="AD31">
        <v>23.108249609176376</v>
      </c>
      <c r="AE31" t="s">
        <v>274</v>
      </c>
      <c r="AF31">
        <v>96.87</v>
      </c>
      <c r="AG31">
        <v>8</v>
      </c>
      <c r="AH31">
        <v>27.633733008770278</v>
      </c>
      <c r="AI31" t="s">
        <v>275</v>
      </c>
      <c r="AJ31" t="s">
        <v>74</v>
      </c>
      <c r="AK31">
        <v>0.31804385724709122</v>
      </c>
      <c r="AL31">
        <v>0.25316099672289399</v>
      </c>
      <c r="AM31">
        <v>16</v>
      </c>
      <c r="AN31">
        <v>1</v>
      </c>
      <c r="AO31">
        <v>0.50315106749652638</v>
      </c>
      <c r="AP31">
        <v>0.63210410906916525</v>
      </c>
      <c r="AQ31">
        <v>-0.66811411382898211</v>
      </c>
      <c r="AR31">
        <v>1.3042018283231647</v>
      </c>
      <c r="AS31">
        <v>571</v>
      </c>
      <c r="AT31" t="s">
        <v>95</v>
      </c>
      <c r="AU31" t="s">
        <v>60</v>
      </c>
      <c r="AV31" t="s">
        <v>74</v>
      </c>
      <c r="AW31" t="s">
        <v>74</v>
      </c>
      <c r="AX31" t="s">
        <v>74</v>
      </c>
      <c r="AY31" t="s">
        <v>114</v>
      </c>
    </row>
    <row r="32" spans="1:51" x14ac:dyDescent="0.75">
      <c r="A32" t="s">
        <v>276</v>
      </c>
      <c r="B32" t="s">
        <v>52</v>
      </c>
      <c r="C32" t="s">
        <v>53</v>
      </c>
      <c r="D32" t="s">
        <v>277</v>
      </c>
      <c r="E32" t="s">
        <v>278</v>
      </c>
      <c r="F32" t="s">
        <v>56</v>
      </c>
      <c r="G32" t="s">
        <v>92</v>
      </c>
      <c r="H32" t="s">
        <v>137</v>
      </c>
      <c r="L32" t="s">
        <v>60</v>
      </c>
      <c r="P32" t="s">
        <v>279</v>
      </c>
      <c r="Q32" t="s">
        <v>63</v>
      </c>
      <c r="R32" t="s">
        <v>64</v>
      </c>
      <c r="T32" t="s">
        <v>66</v>
      </c>
      <c r="U32">
        <v>1</v>
      </c>
      <c r="V32" t="s">
        <v>67</v>
      </c>
      <c r="W32" t="s">
        <v>79</v>
      </c>
      <c r="X32" t="s">
        <v>80</v>
      </c>
      <c r="Y32" t="s">
        <v>68</v>
      </c>
      <c r="Z32" t="s">
        <v>69</v>
      </c>
      <c r="AA32">
        <v>82.88</v>
      </c>
      <c r="AB32" t="s">
        <v>219</v>
      </c>
      <c r="AC32">
        <v>9</v>
      </c>
      <c r="AD32">
        <v>18.149999999999999</v>
      </c>
      <c r="AE32" t="s">
        <v>280</v>
      </c>
      <c r="AF32">
        <v>90.52</v>
      </c>
      <c r="AG32">
        <v>9</v>
      </c>
      <c r="AH32">
        <v>24.18</v>
      </c>
      <c r="AI32" t="s">
        <v>281</v>
      </c>
      <c r="AJ32" t="s">
        <v>72</v>
      </c>
      <c r="AK32">
        <v>0.34030273830557317</v>
      </c>
      <c r="AL32">
        <v>0.22543905426939642</v>
      </c>
      <c r="AM32">
        <v>18</v>
      </c>
      <c r="AN32">
        <v>1</v>
      </c>
      <c r="AO32">
        <v>0.4748042273078415</v>
      </c>
      <c r="AP32">
        <v>0.71672221672309655</v>
      </c>
      <c r="AQ32">
        <v>-0.59029644692516525</v>
      </c>
      <c r="AR32">
        <v>1.2709019235363117</v>
      </c>
      <c r="AS32">
        <v>601</v>
      </c>
      <c r="AT32" t="s">
        <v>95</v>
      </c>
      <c r="AU32" t="s">
        <v>60</v>
      </c>
      <c r="AV32" t="s">
        <v>96</v>
      </c>
      <c r="AW32" t="s">
        <v>74</v>
      </c>
      <c r="AX32" t="s">
        <v>74</v>
      </c>
      <c r="AY32" t="s">
        <v>114</v>
      </c>
    </row>
    <row r="33" spans="1:51" x14ac:dyDescent="0.75">
      <c r="A33" t="s">
        <v>282</v>
      </c>
      <c r="B33" t="s">
        <v>52</v>
      </c>
      <c r="C33" t="s">
        <v>53</v>
      </c>
      <c r="D33" t="s">
        <v>283</v>
      </c>
      <c r="E33" t="s">
        <v>284</v>
      </c>
      <c r="F33" t="s">
        <v>56</v>
      </c>
      <c r="G33" t="s">
        <v>69</v>
      </c>
      <c r="H33" t="s">
        <v>285</v>
      </c>
      <c r="L33" t="s">
        <v>60</v>
      </c>
      <c r="P33" t="s">
        <v>286</v>
      </c>
      <c r="Q33" t="s">
        <v>90</v>
      </c>
      <c r="R33" t="s">
        <v>64</v>
      </c>
      <c r="T33" t="s">
        <v>66</v>
      </c>
      <c r="U33">
        <v>1</v>
      </c>
      <c r="V33" t="s">
        <v>91</v>
      </c>
      <c r="W33" t="s">
        <v>79</v>
      </c>
      <c r="X33" t="s">
        <v>118</v>
      </c>
      <c r="Y33" t="s">
        <v>68</v>
      </c>
      <c r="Z33" t="s">
        <v>69</v>
      </c>
      <c r="AA33">
        <v>227.39</v>
      </c>
      <c r="AB33" t="s">
        <v>109</v>
      </c>
      <c r="AC33">
        <v>12</v>
      </c>
      <c r="AD33">
        <v>36.373066958946424</v>
      </c>
      <c r="AE33" t="s">
        <v>287</v>
      </c>
      <c r="AF33">
        <v>215.98</v>
      </c>
      <c r="AG33">
        <v>12</v>
      </c>
      <c r="AH33">
        <v>42.712372914648512</v>
      </c>
      <c r="AI33" t="s">
        <v>288</v>
      </c>
      <c r="AJ33" t="s">
        <v>74</v>
      </c>
      <c r="AK33">
        <v>-0.27768883960127677</v>
      </c>
      <c r="AL33">
        <v>0.16827314774248131</v>
      </c>
      <c r="AM33">
        <v>24</v>
      </c>
      <c r="AN33">
        <v>1</v>
      </c>
      <c r="AO33">
        <v>0.41021110143739564</v>
      </c>
      <c r="AP33">
        <v>-0.67694130809294117</v>
      </c>
      <c r="AQ33">
        <v>-1.0816878244770789</v>
      </c>
      <c r="AR33">
        <v>0.52631014527452535</v>
      </c>
      <c r="AS33">
        <v>621</v>
      </c>
      <c r="AT33" t="s">
        <v>73</v>
      </c>
      <c r="AU33" t="s">
        <v>60</v>
      </c>
      <c r="AV33" t="s">
        <v>74</v>
      </c>
      <c r="AW33" t="s">
        <v>60</v>
      </c>
      <c r="AX33" t="s">
        <v>84</v>
      </c>
      <c r="AY33" t="s">
        <v>97</v>
      </c>
    </row>
    <row r="34" spans="1:51" x14ac:dyDescent="0.75">
      <c r="A34" t="s">
        <v>289</v>
      </c>
      <c r="B34" t="s">
        <v>52</v>
      </c>
      <c r="C34" t="s">
        <v>53</v>
      </c>
      <c r="D34" t="s">
        <v>290</v>
      </c>
      <c r="E34" t="s">
        <v>291</v>
      </c>
      <c r="F34" t="s">
        <v>56</v>
      </c>
      <c r="G34" t="s">
        <v>69</v>
      </c>
      <c r="H34" t="s">
        <v>101</v>
      </c>
      <c r="P34" t="s">
        <v>292</v>
      </c>
      <c r="Q34" t="s">
        <v>293</v>
      </c>
      <c r="R34" t="s">
        <v>64</v>
      </c>
      <c r="T34" t="s">
        <v>66</v>
      </c>
      <c r="U34">
        <v>2</v>
      </c>
      <c r="V34" t="s">
        <v>67</v>
      </c>
      <c r="W34" t="s">
        <v>294</v>
      </c>
      <c r="Y34" t="s">
        <v>68</v>
      </c>
      <c r="Z34" t="s">
        <v>69</v>
      </c>
      <c r="AA34">
        <v>71.260000000000005</v>
      </c>
      <c r="AB34" t="s">
        <v>109</v>
      </c>
      <c r="AC34">
        <v>6</v>
      </c>
      <c r="AD34">
        <v>18.671507705592497</v>
      </c>
      <c r="AE34" t="s">
        <v>295</v>
      </c>
      <c r="AF34">
        <v>46.26</v>
      </c>
      <c r="AG34">
        <v>12</v>
      </c>
      <c r="AH34">
        <v>11.015843136138059</v>
      </c>
      <c r="AI34" t="s">
        <v>296</v>
      </c>
      <c r="AJ34" t="s">
        <v>293</v>
      </c>
      <c r="AK34">
        <v>-1.7164100427573847</v>
      </c>
      <c r="AL34">
        <v>0.33183509541328909</v>
      </c>
      <c r="AM34">
        <v>18</v>
      </c>
      <c r="AN34">
        <v>1</v>
      </c>
      <c r="AO34">
        <v>0.57605129581773284</v>
      </c>
      <c r="AP34">
        <v>-2.9796131962881138</v>
      </c>
      <c r="AQ34">
        <v>-2.8454498358077696</v>
      </c>
      <c r="AR34">
        <v>-0.58737024970699991</v>
      </c>
      <c r="AS34">
        <v>684</v>
      </c>
      <c r="AT34" t="s">
        <v>73</v>
      </c>
      <c r="AU34" t="s">
        <v>60</v>
      </c>
      <c r="AV34" t="s">
        <v>84</v>
      </c>
      <c r="AW34" t="s">
        <v>74</v>
      </c>
      <c r="AX34" t="s">
        <v>74</v>
      </c>
      <c r="AY34" t="s">
        <v>74</v>
      </c>
    </row>
    <row r="35" spans="1:51" x14ac:dyDescent="0.75">
      <c r="A35" t="s">
        <v>297</v>
      </c>
      <c r="B35" t="s">
        <v>52</v>
      </c>
      <c r="C35" t="s">
        <v>53</v>
      </c>
      <c r="D35" t="s">
        <v>298</v>
      </c>
      <c r="E35" t="s">
        <v>218</v>
      </c>
      <c r="H35" t="s">
        <v>299</v>
      </c>
      <c r="L35" t="s">
        <v>60</v>
      </c>
      <c r="P35" t="s">
        <v>300</v>
      </c>
      <c r="Q35" t="s">
        <v>63</v>
      </c>
      <c r="R35" t="s">
        <v>64</v>
      </c>
      <c r="S35" t="s">
        <v>219</v>
      </c>
      <c r="T35" t="s">
        <v>66</v>
      </c>
      <c r="U35">
        <v>2</v>
      </c>
      <c r="V35" t="s">
        <v>91</v>
      </c>
      <c r="W35" t="s">
        <v>79</v>
      </c>
      <c r="X35" t="s">
        <v>139</v>
      </c>
      <c r="Y35" t="s">
        <v>68</v>
      </c>
      <c r="Z35" t="s">
        <v>69</v>
      </c>
      <c r="AA35">
        <v>49.13</v>
      </c>
      <c r="AB35" t="s">
        <v>78</v>
      </c>
      <c r="AC35">
        <v>7</v>
      </c>
      <c r="AD35">
        <v>6.7731233563253523</v>
      </c>
      <c r="AE35" t="s">
        <v>301</v>
      </c>
      <c r="AF35">
        <v>28.13</v>
      </c>
      <c r="AG35">
        <v>7</v>
      </c>
      <c r="AH35">
        <v>6.2439730941124338</v>
      </c>
      <c r="AI35" t="s">
        <v>302</v>
      </c>
      <c r="AJ35" t="s">
        <v>72</v>
      </c>
      <c r="AK35">
        <v>-3.0173486277048402</v>
      </c>
      <c r="AL35">
        <v>0.61087116932543872</v>
      </c>
      <c r="AM35">
        <v>14</v>
      </c>
      <c r="AN35">
        <v>1</v>
      </c>
      <c r="AO35">
        <v>0.78158247762180466</v>
      </c>
      <c r="AP35">
        <v>-3.8605632983047595</v>
      </c>
      <c r="AQ35">
        <v>-4.5492221347911599</v>
      </c>
      <c r="AR35">
        <v>-1.4854751206185206</v>
      </c>
      <c r="AS35">
        <v>714</v>
      </c>
      <c r="AT35" t="s">
        <v>73</v>
      </c>
      <c r="AU35" t="s">
        <v>60</v>
      </c>
      <c r="AV35" t="s">
        <v>84</v>
      </c>
      <c r="AW35" t="s">
        <v>60</v>
      </c>
      <c r="AX35" t="s">
        <v>84</v>
      </c>
      <c r="AY35" t="s">
        <v>74</v>
      </c>
    </row>
    <row r="36" spans="1:51" x14ac:dyDescent="0.75">
      <c r="A36" t="s">
        <v>303</v>
      </c>
      <c r="B36" t="s">
        <v>52</v>
      </c>
      <c r="C36" t="s">
        <v>53</v>
      </c>
      <c r="D36" t="s">
        <v>304</v>
      </c>
      <c r="E36" t="s">
        <v>305</v>
      </c>
      <c r="H36" t="s">
        <v>306</v>
      </c>
      <c r="P36" t="s">
        <v>300</v>
      </c>
      <c r="Q36" t="s">
        <v>307</v>
      </c>
      <c r="S36" t="s">
        <v>308</v>
      </c>
      <c r="T36" t="s">
        <v>66</v>
      </c>
      <c r="U36">
        <v>2</v>
      </c>
      <c r="V36" t="s">
        <v>91</v>
      </c>
      <c r="W36" t="s">
        <v>294</v>
      </c>
      <c r="Y36" t="s">
        <v>68</v>
      </c>
      <c r="Z36" t="s">
        <v>69</v>
      </c>
      <c r="AA36">
        <v>98.58</v>
      </c>
      <c r="AB36" t="s">
        <v>109</v>
      </c>
      <c r="AC36">
        <v>12</v>
      </c>
      <c r="AD36">
        <v>4.1222809220139274</v>
      </c>
      <c r="AE36" t="s">
        <v>309</v>
      </c>
      <c r="AF36">
        <v>38.58</v>
      </c>
      <c r="AG36">
        <v>12</v>
      </c>
      <c r="AH36">
        <v>3.325537550532244</v>
      </c>
      <c r="AI36" t="s">
        <v>310</v>
      </c>
      <c r="AJ36" t="s">
        <v>74</v>
      </c>
      <c r="AK36">
        <v>-15.467186422024113</v>
      </c>
      <c r="AL36">
        <v>5.1507053294509815</v>
      </c>
      <c r="AM36">
        <v>24</v>
      </c>
      <c r="AN36">
        <v>1</v>
      </c>
      <c r="AO36">
        <v>2.2695165409071119</v>
      </c>
      <c r="AP36">
        <v>-6.8151899945360057</v>
      </c>
      <c r="AQ36">
        <v>-19.915357104519977</v>
      </c>
      <c r="AR36">
        <v>-11.01901573952825</v>
      </c>
      <c r="AS36">
        <v>755</v>
      </c>
      <c r="AT36" t="s">
        <v>73</v>
      </c>
      <c r="AU36" t="s">
        <v>60</v>
      </c>
      <c r="AV36" t="s">
        <v>84</v>
      </c>
      <c r="AW36" t="s">
        <v>60</v>
      </c>
      <c r="AX36" t="s">
        <v>84</v>
      </c>
      <c r="AY36" t="s">
        <v>74</v>
      </c>
    </row>
    <row r="37" spans="1:51" x14ac:dyDescent="0.75">
      <c r="A37" t="s">
        <v>311</v>
      </c>
      <c r="B37" t="s">
        <v>52</v>
      </c>
      <c r="C37" t="s">
        <v>53</v>
      </c>
      <c r="D37" t="s">
        <v>312</v>
      </c>
      <c r="E37" t="s">
        <v>313</v>
      </c>
      <c r="F37" t="s">
        <v>56</v>
      </c>
      <c r="G37" t="s">
        <v>65</v>
      </c>
      <c r="H37" t="s">
        <v>101</v>
      </c>
      <c r="P37" t="s">
        <v>300</v>
      </c>
      <c r="Q37" t="s">
        <v>293</v>
      </c>
      <c r="R37" t="s">
        <v>64</v>
      </c>
      <c r="T37" t="s">
        <v>66</v>
      </c>
      <c r="U37">
        <v>1</v>
      </c>
      <c r="V37" t="s">
        <v>91</v>
      </c>
      <c r="W37" t="s">
        <v>79</v>
      </c>
      <c r="X37" t="s">
        <v>80</v>
      </c>
      <c r="Y37" t="s">
        <v>68</v>
      </c>
      <c r="AA37">
        <v>128.78</v>
      </c>
      <c r="AB37" t="s">
        <v>65</v>
      </c>
      <c r="AC37">
        <v>8</v>
      </c>
      <c r="AD37">
        <v>47.47</v>
      </c>
      <c r="AE37" t="s">
        <v>314</v>
      </c>
      <c r="AF37">
        <v>93.93</v>
      </c>
      <c r="AG37">
        <v>8</v>
      </c>
      <c r="AH37">
        <v>33.340000000000003</v>
      </c>
      <c r="AI37" t="s">
        <v>315</v>
      </c>
      <c r="AJ37" t="s">
        <v>293</v>
      </c>
      <c r="AK37">
        <v>-0.80314151130222744</v>
      </c>
      <c r="AL37">
        <v>0.2701573839742758</v>
      </c>
      <c r="AM37">
        <v>16</v>
      </c>
      <c r="AN37">
        <v>1</v>
      </c>
      <c r="AO37">
        <v>0.51976666300781138</v>
      </c>
      <c r="AP37">
        <v>-1.5451962745255121</v>
      </c>
      <c r="AQ37">
        <v>-1.8218654511621049</v>
      </c>
      <c r="AR37">
        <v>0.21558242855764986</v>
      </c>
      <c r="AS37">
        <v>791</v>
      </c>
      <c r="AT37" t="s">
        <v>73</v>
      </c>
      <c r="AU37" t="s">
        <v>60</v>
      </c>
      <c r="AV37" t="s">
        <v>84</v>
      </c>
      <c r="AW37" t="s">
        <v>74</v>
      </c>
      <c r="AX37" t="s">
        <v>74</v>
      </c>
      <c r="AY37" t="s">
        <v>114</v>
      </c>
    </row>
    <row r="38" spans="1:51" x14ac:dyDescent="0.75">
      <c r="A38" t="s">
        <v>316</v>
      </c>
      <c r="B38" t="s">
        <v>52</v>
      </c>
      <c r="C38" t="s">
        <v>53</v>
      </c>
      <c r="D38" t="s">
        <v>317</v>
      </c>
      <c r="E38" t="s">
        <v>318</v>
      </c>
      <c r="F38" t="s">
        <v>56</v>
      </c>
      <c r="G38" t="s">
        <v>69</v>
      </c>
      <c r="H38" t="s">
        <v>137</v>
      </c>
      <c r="L38" t="s">
        <v>60</v>
      </c>
      <c r="P38" t="s">
        <v>319</v>
      </c>
      <c r="Q38" t="s">
        <v>320</v>
      </c>
      <c r="R38" t="s">
        <v>103</v>
      </c>
      <c r="S38" t="s">
        <v>109</v>
      </c>
      <c r="T38" t="s">
        <v>66</v>
      </c>
      <c r="U38">
        <v>1</v>
      </c>
      <c r="V38" t="s">
        <v>91</v>
      </c>
      <c r="W38" t="s">
        <v>79</v>
      </c>
      <c r="X38" t="s">
        <v>80</v>
      </c>
      <c r="Y38" t="s">
        <v>68</v>
      </c>
      <c r="Z38" t="s">
        <v>69</v>
      </c>
      <c r="AA38">
        <v>55.9</v>
      </c>
      <c r="AB38" t="s">
        <v>69</v>
      </c>
      <c r="AC38">
        <v>5</v>
      </c>
      <c r="AD38">
        <v>12.365455915573838</v>
      </c>
      <c r="AE38" t="s">
        <v>321</v>
      </c>
      <c r="AF38">
        <v>97.67</v>
      </c>
      <c r="AG38">
        <v>5</v>
      </c>
      <c r="AH38">
        <v>19.230184606498192</v>
      </c>
      <c r="AI38" t="s">
        <v>322</v>
      </c>
      <c r="AJ38" t="s">
        <v>74</v>
      </c>
      <c r="AK38">
        <v>2.3323643782986268</v>
      </c>
      <c r="AL38">
        <v>0.67199617965781699</v>
      </c>
      <c r="AM38">
        <v>10</v>
      </c>
      <c r="AN38">
        <v>1</v>
      </c>
      <c r="AO38">
        <v>0.81975373110332161</v>
      </c>
      <c r="AP38">
        <v>2.8452012961983772</v>
      </c>
      <c r="AQ38">
        <v>0.72567658914378463</v>
      </c>
      <c r="AR38">
        <v>3.9390521674534691</v>
      </c>
      <c r="AS38">
        <v>798</v>
      </c>
      <c r="AT38" t="s">
        <v>95</v>
      </c>
      <c r="AU38" t="s">
        <v>60</v>
      </c>
      <c r="AV38" t="s">
        <v>74</v>
      </c>
      <c r="AW38" t="s">
        <v>74</v>
      </c>
      <c r="AX38" t="s">
        <v>96</v>
      </c>
      <c r="AY38" t="s">
        <v>74</v>
      </c>
    </row>
    <row r="39" spans="1:51" x14ac:dyDescent="0.75">
      <c r="A39" t="s">
        <v>323</v>
      </c>
      <c r="B39" t="s">
        <v>52</v>
      </c>
      <c r="C39" t="s">
        <v>53</v>
      </c>
      <c r="D39" t="s">
        <v>324</v>
      </c>
      <c r="E39" t="s">
        <v>325</v>
      </c>
      <c r="H39" t="s">
        <v>137</v>
      </c>
      <c r="I39" t="s">
        <v>80</v>
      </c>
      <c r="K39" t="s">
        <v>129</v>
      </c>
      <c r="Q39" t="s">
        <v>63</v>
      </c>
      <c r="R39" t="s">
        <v>64</v>
      </c>
      <c r="T39" t="s">
        <v>66</v>
      </c>
      <c r="U39">
        <v>1</v>
      </c>
      <c r="V39" t="s">
        <v>91</v>
      </c>
      <c r="W39" t="s">
        <v>79</v>
      </c>
      <c r="X39" t="s">
        <v>139</v>
      </c>
      <c r="Y39" t="s">
        <v>68</v>
      </c>
      <c r="Z39" t="s">
        <v>81</v>
      </c>
      <c r="AA39">
        <v>94.4</v>
      </c>
      <c r="AB39" t="s">
        <v>69</v>
      </c>
      <c r="AC39">
        <v>5</v>
      </c>
      <c r="AD39">
        <v>9.6374529830240938</v>
      </c>
      <c r="AE39" t="s">
        <v>326</v>
      </c>
      <c r="AF39">
        <v>49.2</v>
      </c>
      <c r="AG39">
        <v>5</v>
      </c>
      <c r="AH39">
        <v>4.7628247920745519</v>
      </c>
      <c r="AI39" t="s">
        <v>327</v>
      </c>
      <c r="AJ39" t="s">
        <v>72</v>
      </c>
      <c r="AK39">
        <v>-5.3676639342948533</v>
      </c>
      <c r="AL39">
        <v>1.8405908055764852</v>
      </c>
      <c r="AM39">
        <v>10</v>
      </c>
      <c r="AN39">
        <v>1</v>
      </c>
      <c r="AO39">
        <v>1.3566837529713716</v>
      </c>
      <c r="AP39">
        <v>-3.9564592135335466</v>
      </c>
      <c r="AQ39">
        <v>-8.0267152285293761</v>
      </c>
      <c r="AR39">
        <v>-2.7086126400603296</v>
      </c>
      <c r="AS39">
        <v>803</v>
      </c>
      <c r="AT39" t="s">
        <v>73</v>
      </c>
      <c r="AU39" t="s">
        <v>60</v>
      </c>
      <c r="AV39" t="s">
        <v>84</v>
      </c>
      <c r="AW39" t="s">
        <v>60</v>
      </c>
      <c r="AX39" t="s">
        <v>84</v>
      </c>
      <c r="AY39" t="s">
        <v>97</v>
      </c>
    </row>
    <row r="40" spans="1:51" x14ac:dyDescent="0.75">
      <c r="A40" t="s">
        <v>328</v>
      </c>
      <c r="B40" t="s">
        <v>52</v>
      </c>
      <c r="C40" t="s">
        <v>53</v>
      </c>
      <c r="D40" t="s">
        <v>329</v>
      </c>
      <c r="E40" t="s">
        <v>330</v>
      </c>
      <c r="H40" t="s">
        <v>128</v>
      </c>
      <c r="K40" t="s">
        <v>129</v>
      </c>
      <c r="P40" t="s">
        <v>331</v>
      </c>
      <c r="Q40" t="s">
        <v>63</v>
      </c>
      <c r="R40" t="s">
        <v>103</v>
      </c>
      <c r="T40" t="s">
        <v>66</v>
      </c>
      <c r="U40">
        <v>1</v>
      </c>
      <c r="V40" t="s">
        <v>67</v>
      </c>
      <c r="W40" t="s">
        <v>79</v>
      </c>
      <c r="X40" t="s">
        <v>80</v>
      </c>
      <c r="Y40" t="s">
        <v>68</v>
      </c>
      <c r="Z40" t="s">
        <v>69</v>
      </c>
      <c r="AA40">
        <v>67.8</v>
      </c>
      <c r="AB40" t="s">
        <v>78</v>
      </c>
      <c r="AC40">
        <v>7</v>
      </c>
      <c r="AD40">
        <v>26.192937979539447</v>
      </c>
      <c r="AE40" t="s">
        <v>332</v>
      </c>
      <c r="AF40">
        <v>51.4</v>
      </c>
      <c r="AG40">
        <v>7</v>
      </c>
      <c r="AH40">
        <v>16.033252945051419</v>
      </c>
      <c r="AI40" t="s">
        <v>333</v>
      </c>
      <c r="AJ40" t="s">
        <v>72</v>
      </c>
      <c r="AK40">
        <v>-0.70683935706938816</v>
      </c>
      <c r="AL40">
        <v>0.30355792416793803</v>
      </c>
      <c r="AM40">
        <v>14</v>
      </c>
      <c r="AN40">
        <v>1</v>
      </c>
      <c r="AO40">
        <v>0.55096090983656731</v>
      </c>
      <c r="AP40">
        <v>-1.2829210647250082</v>
      </c>
      <c r="AQ40">
        <v>-1.78670289723848</v>
      </c>
      <c r="AR40">
        <v>0.37302418309970375</v>
      </c>
      <c r="AS40">
        <v>819</v>
      </c>
      <c r="AT40" t="s">
        <v>73</v>
      </c>
      <c r="AU40" t="s">
        <v>60</v>
      </c>
      <c r="AV40" t="s">
        <v>74</v>
      </c>
      <c r="AW40" t="s">
        <v>74</v>
      </c>
      <c r="AX40" t="s">
        <v>84</v>
      </c>
      <c r="AY40" t="s">
        <v>114</v>
      </c>
    </row>
    <row r="41" spans="1:51" x14ac:dyDescent="0.75">
      <c r="A41" t="s">
        <v>334</v>
      </c>
      <c r="B41" t="s">
        <v>52</v>
      </c>
      <c r="C41" t="s">
        <v>53</v>
      </c>
      <c r="D41" t="s">
        <v>335</v>
      </c>
      <c r="E41" t="s">
        <v>336</v>
      </c>
      <c r="H41" t="s">
        <v>299</v>
      </c>
      <c r="I41" t="s">
        <v>189</v>
      </c>
      <c r="K41" t="s">
        <v>110</v>
      </c>
      <c r="Q41" t="s">
        <v>320</v>
      </c>
      <c r="R41" t="s">
        <v>103</v>
      </c>
      <c r="T41" t="s">
        <v>66</v>
      </c>
      <c r="U41">
        <v>1</v>
      </c>
      <c r="V41" t="s">
        <v>67</v>
      </c>
      <c r="W41" t="s">
        <v>294</v>
      </c>
      <c r="Y41" t="s">
        <v>68</v>
      </c>
      <c r="Z41" t="s">
        <v>69</v>
      </c>
      <c r="AA41">
        <v>122.47</v>
      </c>
      <c r="AB41" t="s">
        <v>57</v>
      </c>
      <c r="AC41">
        <v>6</v>
      </c>
      <c r="AD41">
        <v>6.1482192543857757</v>
      </c>
      <c r="AE41" t="s">
        <v>337</v>
      </c>
      <c r="AF41">
        <v>178.29</v>
      </c>
      <c r="AG41">
        <v>6</v>
      </c>
      <c r="AH41">
        <v>13.031285431606507</v>
      </c>
      <c r="AI41" t="s">
        <v>338</v>
      </c>
      <c r="AJ41" t="s">
        <v>74</v>
      </c>
      <c r="AK41">
        <v>5.0554224523536044</v>
      </c>
      <c r="AL41">
        <v>1.398220673823372</v>
      </c>
      <c r="AM41">
        <v>12</v>
      </c>
      <c r="AN41">
        <v>1</v>
      </c>
      <c r="AO41">
        <v>1.1824638150164986</v>
      </c>
      <c r="AP41">
        <v>4.2753295180394737</v>
      </c>
      <c r="AQ41">
        <v>2.7378359618994348</v>
      </c>
      <c r="AR41">
        <v>7.3730089428077736</v>
      </c>
      <c r="AS41">
        <v>875</v>
      </c>
      <c r="AT41" t="s">
        <v>95</v>
      </c>
      <c r="AU41" t="s">
        <v>60</v>
      </c>
      <c r="AV41" t="s">
        <v>74</v>
      </c>
      <c r="AW41" t="s">
        <v>74</v>
      </c>
      <c r="AX41" t="s">
        <v>96</v>
      </c>
      <c r="AY41" t="s">
        <v>96</v>
      </c>
    </row>
    <row r="42" spans="1:51" x14ac:dyDescent="0.75">
      <c r="A42" t="s">
        <v>339</v>
      </c>
      <c r="B42" t="s">
        <v>52</v>
      </c>
      <c r="C42" t="s">
        <v>53</v>
      </c>
      <c r="D42" t="s">
        <v>340</v>
      </c>
      <c r="E42" t="s">
        <v>341</v>
      </c>
      <c r="H42" t="s">
        <v>101</v>
      </c>
      <c r="I42" t="s">
        <v>80</v>
      </c>
      <c r="P42" t="s">
        <v>331</v>
      </c>
      <c r="Q42" t="s">
        <v>102</v>
      </c>
      <c r="R42" t="s">
        <v>64</v>
      </c>
      <c r="S42" t="s">
        <v>219</v>
      </c>
      <c r="T42" t="s">
        <v>66</v>
      </c>
      <c r="U42">
        <v>2</v>
      </c>
      <c r="V42" t="s">
        <v>91</v>
      </c>
      <c r="W42" t="s">
        <v>79</v>
      </c>
      <c r="X42" t="s">
        <v>80</v>
      </c>
      <c r="Y42" t="s">
        <v>68</v>
      </c>
      <c r="Z42" t="s">
        <v>69</v>
      </c>
      <c r="AA42">
        <v>49.64</v>
      </c>
      <c r="AB42" t="s">
        <v>57</v>
      </c>
      <c r="AC42">
        <v>6</v>
      </c>
      <c r="AD42">
        <v>5.2174131521281684</v>
      </c>
      <c r="AE42" t="s">
        <v>327</v>
      </c>
      <c r="AF42">
        <v>151.06</v>
      </c>
      <c r="AG42">
        <v>6</v>
      </c>
      <c r="AH42">
        <v>15.627744558956675</v>
      </c>
      <c r="AI42" t="s">
        <v>342</v>
      </c>
      <c r="AJ42" t="s">
        <v>102</v>
      </c>
      <c r="AK42">
        <v>8.032993725393812</v>
      </c>
      <c r="AL42">
        <v>3.0220411746756817</v>
      </c>
      <c r="AM42">
        <v>12</v>
      </c>
      <c r="AN42">
        <v>1</v>
      </c>
      <c r="AO42">
        <v>1.738401902517275</v>
      </c>
      <c r="AP42">
        <v>4.6209071180615471</v>
      </c>
      <c r="AQ42">
        <v>4.6257886058040434</v>
      </c>
      <c r="AR42">
        <v>11.440198844983581</v>
      </c>
      <c r="AS42">
        <v>937</v>
      </c>
      <c r="AT42" t="s">
        <v>95</v>
      </c>
      <c r="AU42" t="s">
        <v>60</v>
      </c>
      <c r="AV42" t="s">
        <v>74</v>
      </c>
      <c r="AW42" t="s">
        <v>74</v>
      </c>
      <c r="AX42" t="s">
        <v>74</v>
      </c>
      <c r="AY42" t="s">
        <v>74</v>
      </c>
    </row>
    <row r="43" spans="1:51" x14ac:dyDescent="0.75">
      <c r="A43" t="s">
        <v>343</v>
      </c>
      <c r="B43" t="s">
        <v>52</v>
      </c>
      <c r="C43" t="s">
        <v>53</v>
      </c>
      <c r="D43" t="s">
        <v>344</v>
      </c>
      <c r="E43" t="s">
        <v>278</v>
      </c>
      <c r="H43" t="s">
        <v>137</v>
      </c>
      <c r="Q43" t="s">
        <v>63</v>
      </c>
      <c r="R43" t="s">
        <v>64</v>
      </c>
      <c r="T43" t="s">
        <v>66</v>
      </c>
      <c r="U43">
        <v>1</v>
      </c>
      <c r="V43" t="s">
        <v>67</v>
      </c>
      <c r="W43" t="s">
        <v>79</v>
      </c>
      <c r="X43" t="s">
        <v>80</v>
      </c>
      <c r="Y43" t="s">
        <v>68</v>
      </c>
      <c r="Z43" t="s">
        <v>69</v>
      </c>
      <c r="AA43">
        <v>62.6</v>
      </c>
      <c r="AB43" t="s">
        <v>219</v>
      </c>
      <c r="AC43">
        <v>9</v>
      </c>
      <c r="AD43">
        <v>11.399999999999999</v>
      </c>
      <c r="AE43" t="s">
        <v>345</v>
      </c>
      <c r="AF43">
        <v>87.4</v>
      </c>
      <c r="AG43">
        <v>9</v>
      </c>
      <c r="AH43">
        <v>18.299999999999997</v>
      </c>
      <c r="AI43" t="s">
        <v>346</v>
      </c>
      <c r="AJ43" t="s">
        <v>72</v>
      </c>
      <c r="AK43">
        <v>1.5490412799006132</v>
      </c>
      <c r="AL43">
        <v>0.28887580241211469</v>
      </c>
      <c r="AM43">
        <v>18</v>
      </c>
      <c r="AN43">
        <v>1</v>
      </c>
      <c r="AO43">
        <v>0.53747167591614975</v>
      </c>
      <c r="AP43">
        <v>2.8820891394140689</v>
      </c>
      <c r="AQ43">
        <v>0.4956161523945759</v>
      </c>
      <c r="AR43">
        <v>2.6024664074066504</v>
      </c>
      <c r="AS43">
        <v>1005</v>
      </c>
      <c r="AT43" t="s">
        <v>95</v>
      </c>
      <c r="AU43" t="s">
        <v>60</v>
      </c>
      <c r="AV43" t="s">
        <v>74</v>
      </c>
      <c r="AW43" t="s">
        <v>74</v>
      </c>
      <c r="AX43" t="s">
        <v>74</v>
      </c>
      <c r="AY43" t="s">
        <v>84</v>
      </c>
    </row>
    <row r="44" spans="1:51" x14ac:dyDescent="0.75">
      <c r="A44" t="s">
        <v>347</v>
      </c>
      <c r="B44" t="s">
        <v>52</v>
      </c>
      <c r="C44" t="s">
        <v>53</v>
      </c>
      <c r="D44" t="s">
        <v>348</v>
      </c>
      <c r="E44" t="s">
        <v>349</v>
      </c>
      <c r="H44" t="s">
        <v>137</v>
      </c>
      <c r="I44" t="s">
        <v>350</v>
      </c>
      <c r="O44" t="s">
        <v>110</v>
      </c>
      <c r="P44" t="s">
        <v>351</v>
      </c>
      <c r="Q44" t="s">
        <v>63</v>
      </c>
      <c r="R44" t="s">
        <v>103</v>
      </c>
      <c r="S44" t="s">
        <v>352</v>
      </c>
      <c r="T44" t="s">
        <v>66</v>
      </c>
      <c r="U44">
        <v>1</v>
      </c>
      <c r="V44" t="s">
        <v>91</v>
      </c>
      <c r="W44" t="s">
        <v>79</v>
      </c>
      <c r="X44" t="s">
        <v>80</v>
      </c>
      <c r="Y44" t="s">
        <v>68</v>
      </c>
      <c r="Z44" t="s">
        <v>69</v>
      </c>
      <c r="AA44">
        <v>78.63</v>
      </c>
      <c r="AB44" t="s">
        <v>57</v>
      </c>
      <c r="AC44">
        <v>6</v>
      </c>
      <c r="AD44">
        <v>4.2866070498705611</v>
      </c>
      <c r="AE44" t="s">
        <v>353</v>
      </c>
      <c r="AF44">
        <v>72.5</v>
      </c>
      <c r="AG44">
        <v>6</v>
      </c>
      <c r="AH44">
        <v>6.8585712797928977</v>
      </c>
      <c r="AI44" t="s">
        <v>354</v>
      </c>
      <c r="AJ44" t="s">
        <v>72</v>
      </c>
      <c r="AK44">
        <v>-0.98905122746638507</v>
      </c>
      <c r="AL44">
        <v>0.37409259710636511</v>
      </c>
      <c r="AM44">
        <v>12</v>
      </c>
      <c r="AN44">
        <v>1</v>
      </c>
      <c r="AO44">
        <v>0.61163109560123341</v>
      </c>
      <c r="AP44">
        <v>-1.6170715233079307</v>
      </c>
      <c r="AQ44">
        <v>-2.1878261466695772</v>
      </c>
      <c r="AR44">
        <v>0.20972369173680694</v>
      </c>
      <c r="AS44">
        <v>1008</v>
      </c>
      <c r="AT44" t="s">
        <v>73</v>
      </c>
      <c r="AU44" t="s">
        <v>60</v>
      </c>
      <c r="AV44" t="s">
        <v>84</v>
      </c>
      <c r="AW44" t="s">
        <v>74</v>
      </c>
      <c r="AX44" t="s">
        <v>74</v>
      </c>
      <c r="AY44" t="s">
        <v>97</v>
      </c>
    </row>
    <row r="45" spans="1:51" x14ac:dyDescent="0.75">
      <c r="A45" t="s">
        <v>355</v>
      </c>
      <c r="B45" t="s">
        <v>52</v>
      </c>
      <c r="C45" t="s">
        <v>53</v>
      </c>
      <c r="D45" t="s">
        <v>356</v>
      </c>
      <c r="E45" t="s">
        <v>357</v>
      </c>
      <c r="H45" t="s">
        <v>101</v>
      </c>
      <c r="L45" t="s">
        <v>60</v>
      </c>
      <c r="M45" t="s">
        <v>164</v>
      </c>
      <c r="N45" t="s">
        <v>206</v>
      </c>
      <c r="P45" t="s">
        <v>358</v>
      </c>
      <c r="Q45" t="s">
        <v>63</v>
      </c>
      <c r="R45" t="s">
        <v>64</v>
      </c>
      <c r="T45" t="s">
        <v>66</v>
      </c>
      <c r="U45">
        <v>0.75</v>
      </c>
      <c r="V45" t="s">
        <v>67</v>
      </c>
      <c r="W45" t="s">
        <v>79</v>
      </c>
      <c r="X45" t="s">
        <v>80</v>
      </c>
      <c r="Y45" t="s">
        <v>68</v>
      </c>
      <c r="Z45" t="s">
        <v>69</v>
      </c>
      <c r="AA45">
        <v>41</v>
      </c>
      <c r="AB45" t="s">
        <v>51</v>
      </c>
      <c r="AC45">
        <v>10</v>
      </c>
      <c r="AD45">
        <v>25.298221281347036</v>
      </c>
      <c r="AE45" t="s">
        <v>65</v>
      </c>
      <c r="AF45">
        <v>68</v>
      </c>
      <c r="AG45">
        <v>10</v>
      </c>
      <c r="AH45">
        <v>28.460498941515414</v>
      </c>
      <c r="AI45" t="s">
        <v>219</v>
      </c>
      <c r="AJ45" t="s">
        <v>72</v>
      </c>
      <c r="AK45">
        <v>0.96028457644916165</v>
      </c>
      <c r="AL45">
        <v>0.22305366169415367</v>
      </c>
      <c r="AM45">
        <v>20</v>
      </c>
      <c r="AN45">
        <v>1</v>
      </c>
      <c r="AO45">
        <v>0.47228557218504319</v>
      </c>
      <c r="AP45">
        <v>2.0332710398210487</v>
      </c>
      <c r="AQ45">
        <v>3.4621864548585179E-2</v>
      </c>
      <c r="AR45">
        <v>1.8859472883497381</v>
      </c>
      <c r="AS45">
        <v>1028</v>
      </c>
      <c r="AT45" t="s">
        <v>95</v>
      </c>
      <c r="AU45" t="s">
        <v>60</v>
      </c>
      <c r="AV45" t="s">
        <v>74</v>
      </c>
      <c r="AW45" t="s">
        <v>74</v>
      </c>
      <c r="AX45" t="s">
        <v>74</v>
      </c>
      <c r="AY45" t="s">
        <v>74</v>
      </c>
    </row>
    <row r="46" spans="1:51" x14ac:dyDescent="0.75">
      <c r="A46" t="s">
        <v>359</v>
      </c>
      <c r="B46" t="s">
        <v>52</v>
      </c>
      <c r="C46" t="s">
        <v>53</v>
      </c>
      <c r="D46" t="s">
        <v>360</v>
      </c>
      <c r="E46" t="s">
        <v>361</v>
      </c>
      <c r="P46" t="s">
        <v>362</v>
      </c>
      <c r="Q46" t="s">
        <v>63</v>
      </c>
      <c r="R46" t="s">
        <v>64</v>
      </c>
      <c r="T46" t="s">
        <v>66</v>
      </c>
      <c r="U46">
        <v>2</v>
      </c>
      <c r="V46" t="s">
        <v>91</v>
      </c>
      <c r="W46" t="s">
        <v>79</v>
      </c>
      <c r="X46" t="s">
        <v>139</v>
      </c>
      <c r="Y46" t="s">
        <v>68</v>
      </c>
      <c r="Z46" t="s">
        <v>69</v>
      </c>
      <c r="AA46">
        <v>52.38</v>
      </c>
      <c r="AB46" t="s">
        <v>69</v>
      </c>
      <c r="AC46">
        <v>5</v>
      </c>
      <c r="AD46">
        <v>15.272344286323564</v>
      </c>
      <c r="AE46" t="s">
        <v>363</v>
      </c>
      <c r="AF46">
        <v>26.72</v>
      </c>
      <c r="AG46">
        <v>5</v>
      </c>
      <c r="AH46">
        <v>3.3988233257996794</v>
      </c>
      <c r="AI46" t="s">
        <v>364</v>
      </c>
      <c r="AJ46" t="s">
        <v>72</v>
      </c>
      <c r="AK46">
        <v>-2.0936982695665614</v>
      </c>
      <c r="AL46">
        <v>0.61917862219930075</v>
      </c>
      <c r="AM46">
        <v>10</v>
      </c>
      <c r="AN46">
        <v>1</v>
      </c>
      <c r="AO46">
        <v>0.78687903911547974</v>
      </c>
      <c r="AP46">
        <v>-2.660762538445629</v>
      </c>
      <c r="AQ46">
        <v>-3.635952846422386</v>
      </c>
      <c r="AR46">
        <v>-0.5514436927107369</v>
      </c>
      <c r="AS46">
        <v>1033</v>
      </c>
      <c r="AT46" t="s">
        <v>73</v>
      </c>
      <c r="AU46" t="s">
        <v>60</v>
      </c>
      <c r="AV46" t="s">
        <v>84</v>
      </c>
      <c r="AW46" t="s">
        <v>60</v>
      </c>
      <c r="AX46" t="s">
        <v>84</v>
      </c>
      <c r="AY46" t="s">
        <v>97</v>
      </c>
    </row>
    <row r="47" spans="1:51" x14ac:dyDescent="0.75">
      <c r="A47" t="s">
        <v>365</v>
      </c>
      <c r="B47" t="s">
        <v>52</v>
      </c>
      <c r="C47" t="s">
        <v>53</v>
      </c>
      <c r="D47" t="s">
        <v>366</v>
      </c>
      <c r="E47" t="s">
        <v>367</v>
      </c>
      <c r="H47" t="s">
        <v>137</v>
      </c>
      <c r="P47" t="s">
        <v>368</v>
      </c>
      <c r="R47" t="s">
        <v>64</v>
      </c>
      <c r="T47" t="s">
        <v>66</v>
      </c>
      <c r="U47">
        <v>1</v>
      </c>
      <c r="W47" t="s">
        <v>294</v>
      </c>
      <c r="Y47" t="s">
        <v>68</v>
      </c>
      <c r="Z47" t="s">
        <v>69</v>
      </c>
      <c r="AA47">
        <v>72.75</v>
      </c>
      <c r="AB47" t="s">
        <v>57</v>
      </c>
      <c r="AC47">
        <v>6</v>
      </c>
      <c r="AD47">
        <v>12.199999999999998</v>
      </c>
      <c r="AE47" t="s">
        <v>369</v>
      </c>
      <c r="AF47">
        <v>244.65</v>
      </c>
      <c r="AG47">
        <v>6</v>
      </c>
      <c r="AH47">
        <v>12.299999999999999</v>
      </c>
      <c r="AI47" t="s">
        <v>370</v>
      </c>
      <c r="AJ47" t="s">
        <v>74</v>
      </c>
      <c r="AK47">
        <v>12.948461123125345</v>
      </c>
      <c r="AL47">
        <v>7.3192768940453528</v>
      </c>
      <c r="AM47">
        <v>12</v>
      </c>
      <c r="AN47">
        <v>1</v>
      </c>
      <c r="AO47">
        <v>2.7054162145676131</v>
      </c>
      <c r="AP47">
        <v>4.7861253486258128</v>
      </c>
      <c r="AQ47">
        <v>7.6459427793821364</v>
      </c>
      <c r="AR47">
        <v>18.250979466868554</v>
      </c>
      <c r="AS47">
        <v>1037</v>
      </c>
      <c r="AT47" t="s">
        <v>95</v>
      </c>
      <c r="AU47" t="s">
        <v>60</v>
      </c>
      <c r="AV47" t="s">
        <v>96</v>
      </c>
      <c r="AW47" t="s">
        <v>60</v>
      </c>
      <c r="AX47" t="s">
        <v>96</v>
      </c>
      <c r="AY47" t="s">
        <v>74</v>
      </c>
    </row>
    <row r="48" spans="1:51" x14ac:dyDescent="0.75">
      <c r="A48" t="s">
        <v>371</v>
      </c>
      <c r="B48" t="s">
        <v>52</v>
      </c>
      <c r="C48" t="s">
        <v>53</v>
      </c>
      <c r="D48" t="s">
        <v>372</v>
      </c>
      <c r="E48" t="s">
        <v>373</v>
      </c>
      <c r="P48" t="s">
        <v>374</v>
      </c>
      <c r="Q48" t="s">
        <v>63</v>
      </c>
      <c r="R48" t="s">
        <v>64</v>
      </c>
      <c r="S48" t="s">
        <v>51</v>
      </c>
      <c r="T48" t="s">
        <v>66</v>
      </c>
      <c r="U48">
        <v>1</v>
      </c>
      <c r="V48" t="s">
        <v>67</v>
      </c>
      <c r="W48" t="s">
        <v>79</v>
      </c>
      <c r="X48" t="s">
        <v>80</v>
      </c>
      <c r="Y48" t="s">
        <v>68</v>
      </c>
      <c r="Z48" t="s">
        <v>69</v>
      </c>
      <c r="AA48">
        <v>98.5</v>
      </c>
      <c r="AB48" t="s">
        <v>65</v>
      </c>
      <c r="AC48">
        <v>8</v>
      </c>
      <c r="AD48">
        <v>27.03976331257358</v>
      </c>
      <c r="AE48" t="s">
        <v>375</v>
      </c>
      <c r="AF48">
        <v>125.12</v>
      </c>
      <c r="AG48">
        <v>8</v>
      </c>
      <c r="AH48">
        <v>32.244069222106567</v>
      </c>
      <c r="AI48" t="s">
        <v>376</v>
      </c>
      <c r="AJ48" t="s">
        <v>72</v>
      </c>
      <c r="AK48">
        <v>0.84566582661781131</v>
      </c>
      <c r="AL48">
        <v>0.27234845907216204</v>
      </c>
      <c r="AM48">
        <v>16</v>
      </c>
      <c r="AN48">
        <v>1</v>
      </c>
      <c r="AO48">
        <v>0.52187015537599202</v>
      </c>
      <c r="AP48">
        <v>1.6204525549243836</v>
      </c>
      <c r="AQ48">
        <v>-0.17718088252545494</v>
      </c>
      <c r="AR48">
        <v>1.8685125357610777</v>
      </c>
      <c r="AS48">
        <v>1048</v>
      </c>
      <c r="AT48" t="s">
        <v>95</v>
      </c>
      <c r="AU48" t="s">
        <v>60</v>
      </c>
      <c r="AV48" t="s">
        <v>74</v>
      </c>
      <c r="AW48" t="s">
        <v>74</v>
      </c>
      <c r="AX48" t="s">
        <v>74</v>
      </c>
      <c r="AY48" t="s">
        <v>74</v>
      </c>
    </row>
    <row r="49" spans="1:51" x14ac:dyDescent="0.75">
      <c r="A49" t="s">
        <v>377</v>
      </c>
      <c r="B49" t="s">
        <v>52</v>
      </c>
      <c r="C49" t="s">
        <v>53</v>
      </c>
      <c r="D49" t="s">
        <v>378</v>
      </c>
      <c r="E49" t="s">
        <v>379</v>
      </c>
      <c r="Q49" t="s">
        <v>63</v>
      </c>
      <c r="R49" t="s">
        <v>64</v>
      </c>
      <c r="T49" t="s">
        <v>66</v>
      </c>
      <c r="U49">
        <v>1</v>
      </c>
      <c r="V49" t="s">
        <v>91</v>
      </c>
      <c r="W49" t="s">
        <v>79</v>
      </c>
      <c r="X49" t="s">
        <v>139</v>
      </c>
      <c r="Y49" t="s">
        <v>68</v>
      </c>
      <c r="Z49" t="s">
        <v>51</v>
      </c>
      <c r="AA49">
        <v>122.35</v>
      </c>
      <c r="AB49" t="s">
        <v>57</v>
      </c>
      <c r="AC49">
        <v>6</v>
      </c>
      <c r="AD49">
        <v>10.140887535122356</v>
      </c>
      <c r="AE49" t="s">
        <v>222</v>
      </c>
      <c r="AF49">
        <v>51.84</v>
      </c>
      <c r="AG49">
        <v>5</v>
      </c>
      <c r="AH49">
        <v>10.822569011098974</v>
      </c>
      <c r="AI49" t="s">
        <v>380</v>
      </c>
      <c r="AJ49" t="s">
        <v>72</v>
      </c>
      <c r="AK49">
        <v>-6.1666349054856493</v>
      </c>
      <c r="AL49">
        <v>2.0951842147373032</v>
      </c>
      <c r="AM49">
        <v>11</v>
      </c>
      <c r="AN49">
        <v>1</v>
      </c>
      <c r="AO49">
        <v>1.4474751171392561</v>
      </c>
      <c r="AP49">
        <v>-4.2602700609273274</v>
      </c>
      <c r="AQ49">
        <v>-9.0036340035964866</v>
      </c>
      <c r="AR49">
        <v>-3.3296358073748116</v>
      </c>
      <c r="AS49">
        <v>1053</v>
      </c>
      <c r="AT49" t="s">
        <v>73</v>
      </c>
      <c r="AU49" t="s">
        <v>60</v>
      </c>
      <c r="AV49" t="s">
        <v>74</v>
      </c>
      <c r="AW49" t="s">
        <v>74</v>
      </c>
      <c r="AX49" t="s">
        <v>84</v>
      </c>
      <c r="AY49" t="s">
        <v>96</v>
      </c>
    </row>
    <row r="50" spans="1:51" x14ac:dyDescent="0.75">
      <c r="A50" t="s">
        <v>381</v>
      </c>
      <c r="B50" t="s">
        <v>52</v>
      </c>
      <c r="C50" t="s">
        <v>53</v>
      </c>
      <c r="D50" t="s">
        <v>382</v>
      </c>
      <c r="E50" t="s">
        <v>383</v>
      </c>
      <c r="H50" t="s">
        <v>119</v>
      </c>
      <c r="I50" t="s">
        <v>80</v>
      </c>
      <c r="K50" t="s">
        <v>78</v>
      </c>
      <c r="Q50" t="s">
        <v>63</v>
      </c>
      <c r="R50" t="s">
        <v>103</v>
      </c>
      <c r="T50" t="s">
        <v>66</v>
      </c>
      <c r="U50">
        <v>1</v>
      </c>
      <c r="V50" t="s">
        <v>67</v>
      </c>
      <c r="W50" t="s">
        <v>79</v>
      </c>
      <c r="X50" t="s">
        <v>80</v>
      </c>
      <c r="Y50" t="s">
        <v>68</v>
      </c>
      <c r="Z50" t="s">
        <v>81</v>
      </c>
      <c r="AA50">
        <v>66.400000000000006</v>
      </c>
      <c r="AB50" t="s">
        <v>69</v>
      </c>
      <c r="AC50">
        <v>5</v>
      </c>
      <c r="AD50">
        <v>9.2573214268491295</v>
      </c>
      <c r="AE50" t="s">
        <v>222</v>
      </c>
      <c r="AF50">
        <v>36.799999999999997</v>
      </c>
      <c r="AG50">
        <v>5</v>
      </c>
      <c r="AH50">
        <v>7.379024325749306</v>
      </c>
      <c r="AI50" t="s">
        <v>384</v>
      </c>
      <c r="AJ50" t="s">
        <v>72</v>
      </c>
      <c r="AK50">
        <v>-3.1919663399030545</v>
      </c>
      <c r="AL50">
        <v>0.90943245575370513</v>
      </c>
      <c r="AM50">
        <v>10</v>
      </c>
      <c r="AN50">
        <v>1</v>
      </c>
      <c r="AO50">
        <v>0.95364168100692048</v>
      </c>
      <c r="AP50">
        <v>-3.3471338380813607</v>
      </c>
      <c r="AQ50">
        <v>-5.0610696888328537</v>
      </c>
      <c r="AR50">
        <v>-1.3228629909732557</v>
      </c>
      <c r="AS50">
        <v>1057</v>
      </c>
      <c r="AT50" t="s">
        <v>73</v>
      </c>
      <c r="AU50" t="s">
        <v>60</v>
      </c>
      <c r="AV50" t="s">
        <v>84</v>
      </c>
      <c r="AW50" t="s">
        <v>60</v>
      </c>
      <c r="AX50" t="s">
        <v>84</v>
      </c>
      <c r="AY50" t="s">
        <v>97</v>
      </c>
    </row>
    <row r="51" spans="1:51" x14ac:dyDescent="0.75">
      <c r="A51" t="s">
        <v>385</v>
      </c>
      <c r="B51" t="s">
        <v>52</v>
      </c>
      <c r="C51" t="s">
        <v>53</v>
      </c>
      <c r="D51" t="s">
        <v>386</v>
      </c>
      <c r="E51" t="s">
        <v>387</v>
      </c>
      <c r="H51" t="s">
        <v>137</v>
      </c>
      <c r="I51" t="s">
        <v>189</v>
      </c>
      <c r="L51" t="s">
        <v>60</v>
      </c>
      <c r="P51" t="s">
        <v>268</v>
      </c>
      <c r="Q51" t="s">
        <v>63</v>
      </c>
      <c r="R51" t="s">
        <v>103</v>
      </c>
      <c r="T51" t="s">
        <v>66</v>
      </c>
      <c r="U51">
        <v>2</v>
      </c>
      <c r="V51" t="s">
        <v>91</v>
      </c>
      <c r="W51" t="s">
        <v>294</v>
      </c>
      <c r="Y51" t="s">
        <v>68</v>
      </c>
      <c r="Z51" t="s">
        <v>69</v>
      </c>
      <c r="AA51">
        <v>232</v>
      </c>
      <c r="AB51" t="s">
        <v>57</v>
      </c>
      <c r="AC51">
        <v>6</v>
      </c>
      <c r="AD51">
        <v>2.8169132042006542</v>
      </c>
      <c r="AE51" t="s">
        <v>388</v>
      </c>
      <c r="AF51">
        <v>261</v>
      </c>
      <c r="AG51">
        <v>6</v>
      </c>
      <c r="AH51">
        <v>4.9724641778498508</v>
      </c>
      <c r="AI51" t="s">
        <v>389</v>
      </c>
      <c r="AJ51" t="s">
        <v>72</v>
      </c>
      <c r="AK51">
        <v>6.6219246221862669</v>
      </c>
      <c r="AL51">
        <v>2.1604119042465304</v>
      </c>
      <c r="AM51">
        <v>12</v>
      </c>
      <c r="AN51">
        <v>1</v>
      </c>
      <c r="AO51">
        <v>1.4698339716602451</v>
      </c>
      <c r="AP51">
        <v>4.5052194668670626</v>
      </c>
      <c r="AQ51">
        <v>3.7411029744787205</v>
      </c>
      <c r="AR51">
        <v>9.5027462698938123</v>
      </c>
      <c r="AS51">
        <v>1066</v>
      </c>
      <c r="AT51" t="s">
        <v>95</v>
      </c>
      <c r="AU51" t="s">
        <v>60</v>
      </c>
      <c r="AV51" t="s">
        <v>96</v>
      </c>
      <c r="AW51" t="s">
        <v>60</v>
      </c>
      <c r="AX51" t="s">
        <v>96</v>
      </c>
      <c r="AY51" t="s">
        <v>96</v>
      </c>
    </row>
    <row r="52" spans="1:51" x14ac:dyDescent="0.75">
      <c r="A52" t="s">
        <v>390</v>
      </c>
      <c r="B52" t="s">
        <v>52</v>
      </c>
      <c r="C52" t="s">
        <v>53</v>
      </c>
      <c r="D52" t="s">
        <v>391</v>
      </c>
      <c r="E52" t="s">
        <v>392</v>
      </c>
      <c r="F52" t="s">
        <v>56</v>
      </c>
      <c r="G52" t="s">
        <v>51</v>
      </c>
      <c r="H52" t="s">
        <v>101</v>
      </c>
      <c r="Q52" t="s">
        <v>90</v>
      </c>
      <c r="R52" t="s">
        <v>64</v>
      </c>
      <c r="T52" t="s">
        <v>66</v>
      </c>
      <c r="U52">
        <v>0.1</v>
      </c>
      <c r="V52" t="s">
        <v>91</v>
      </c>
      <c r="W52" t="s">
        <v>79</v>
      </c>
      <c r="X52" t="s">
        <v>393</v>
      </c>
      <c r="Y52" t="s">
        <v>68</v>
      </c>
      <c r="Z52" t="s">
        <v>177</v>
      </c>
      <c r="AA52">
        <v>47.78</v>
      </c>
      <c r="AB52" t="s">
        <v>57</v>
      </c>
      <c r="AC52">
        <v>6</v>
      </c>
      <c r="AD52">
        <v>6.1482192543857712</v>
      </c>
      <c r="AE52" t="s">
        <v>394</v>
      </c>
      <c r="AF52">
        <v>60.13</v>
      </c>
      <c r="AG52">
        <v>6</v>
      </c>
      <c r="AH52">
        <v>13.153759918745665</v>
      </c>
      <c r="AI52" t="s">
        <v>395</v>
      </c>
      <c r="AJ52" t="s">
        <v>74</v>
      </c>
      <c r="AK52">
        <v>1.1099565482845211</v>
      </c>
      <c r="AL52">
        <v>0.38466681412832032</v>
      </c>
      <c r="AM52">
        <v>12</v>
      </c>
      <c r="AN52">
        <v>1</v>
      </c>
      <c r="AO52">
        <v>0.62021513535894968</v>
      </c>
      <c r="AP52">
        <v>1.7896315084960535</v>
      </c>
      <c r="AQ52">
        <v>-0.10564277968565472</v>
      </c>
      <c r="AR52">
        <v>2.3255558762546968</v>
      </c>
      <c r="AS52">
        <v>1077</v>
      </c>
      <c r="AT52" t="s">
        <v>95</v>
      </c>
      <c r="AU52" t="s">
        <v>60</v>
      </c>
      <c r="AV52" t="s">
        <v>74</v>
      </c>
      <c r="AW52" t="s">
        <v>74</v>
      </c>
      <c r="AX52" t="s">
        <v>74</v>
      </c>
      <c r="AY52" t="s">
        <v>97</v>
      </c>
    </row>
    <row r="53" spans="1:51" x14ac:dyDescent="0.75">
      <c r="A53" t="s">
        <v>396</v>
      </c>
      <c r="B53" t="s">
        <v>52</v>
      </c>
      <c r="C53" t="s">
        <v>53</v>
      </c>
      <c r="D53" t="s">
        <v>397</v>
      </c>
      <c r="E53" t="s">
        <v>373</v>
      </c>
      <c r="Q53" t="s">
        <v>63</v>
      </c>
      <c r="R53" t="s">
        <v>64</v>
      </c>
      <c r="T53" t="s">
        <v>66</v>
      </c>
      <c r="U53">
        <v>0.5</v>
      </c>
      <c r="V53" t="s">
        <v>91</v>
      </c>
      <c r="W53" t="s">
        <v>79</v>
      </c>
      <c r="X53" t="s">
        <v>139</v>
      </c>
      <c r="Y53" t="s">
        <v>68</v>
      </c>
      <c r="Z53" t="s">
        <v>69</v>
      </c>
      <c r="AA53">
        <v>87.16</v>
      </c>
      <c r="AB53" t="s">
        <v>57</v>
      </c>
      <c r="AC53">
        <v>6</v>
      </c>
      <c r="AD53">
        <v>47.299646933143158</v>
      </c>
      <c r="AE53" t="s">
        <v>398</v>
      </c>
      <c r="AF53">
        <v>133.83000000000001</v>
      </c>
      <c r="AG53">
        <v>6</v>
      </c>
      <c r="AH53">
        <v>85.560676715416406</v>
      </c>
      <c r="AI53" t="s">
        <v>399</v>
      </c>
      <c r="AJ53" t="s">
        <v>72</v>
      </c>
      <c r="AK53">
        <v>0.62295096421810425</v>
      </c>
      <c r="AL53">
        <v>0.34950282932584437</v>
      </c>
      <c r="AM53">
        <v>12</v>
      </c>
      <c r="AN53">
        <v>1</v>
      </c>
      <c r="AO53">
        <v>0.59118764307607474</v>
      </c>
      <c r="AP53">
        <v>1.0537279855457706</v>
      </c>
      <c r="AQ53">
        <v>-0.53575552431612239</v>
      </c>
      <c r="AR53">
        <v>1.7816574527523308</v>
      </c>
      <c r="AS53">
        <v>1097</v>
      </c>
      <c r="AT53" t="s">
        <v>95</v>
      </c>
      <c r="AU53" t="s">
        <v>60</v>
      </c>
      <c r="AV53" t="s">
        <v>74</v>
      </c>
      <c r="AW53" t="s">
        <v>74</v>
      </c>
      <c r="AX53" t="s">
        <v>96</v>
      </c>
      <c r="AY53" t="s">
        <v>96</v>
      </c>
    </row>
    <row r="54" spans="1:51" x14ac:dyDescent="0.75">
      <c r="A54" t="s">
        <v>400</v>
      </c>
      <c r="B54" t="s">
        <v>52</v>
      </c>
      <c r="C54" t="s">
        <v>53</v>
      </c>
      <c r="D54" t="s">
        <v>401</v>
      </c>
      <c r="E54" t="s">
        <v>402</v>
      </c>
      <c r="P54" t="s">
        <v>362</v>
      </c>
      <c r="Q54" t="s">
        <v>63</v>
      </c>
      <c r="R54" t="s">
        <v>64</v>
      </c>
      <c r="T54" t="s">
        <v>66</v>
      </c>
      <c r="U54">
        <v>1</v>
      </c>
      <c r="V54" t="s">
        <v>91</v>
      </c>
      <c r="W54" t="s">
        <v>79</v>
      </c>
      <c r="X54" t="s">
        <v>139</v>
      </c>
      <c r="Y54" t="s">
        <v>68</v>
      </c>
      <c r="Z54" t="s">
        <v>69</v>
      </c>
      <c r="AA54">
        <v>87.69</v>
      </c>
      <c r="AB54" t="s">
        <v>69</v>
      </c>
      <c r="AC54">
        <v>5</v>
      </c>
      <c r="AD54">
        <v>2.8621670111997308</v>
      </c>
      <c r="AE54" t="s">
        <v>403</v>
      </c>
      <c r="AF54">
        <v>26.66</v>
      </c>
      <c r="AG54">
        <v>5</v>
      </c>
      <c r="AH54">
        <v>8.0274840392242446</v>
      </c>
      <c r="AI54" t="s">
        <v>404</v>
      </c>
      <c r="AJ54" t="s">
        <v>72</v>
      </c>
      <c r="AK54">
        <v>-9.1419305504639787</v>
      </c>
      <c r="AL54">
        <v>4.5787447094753313</v>
      </c>
      <c r="AM54">
        <v>10</v>
      </c>
      <c r="AN54">
        <v>1</v>
      </c>
      <c r="AO54">
        <v>2.1398001564340841</v>
      </c>
      <c r="AP54">
        <v>-4.2723291345574745</v>
      </c>
      <c r="AQ54">
        <v>-13.335861791187956</v>
      </c>
      <c r="AR54">
        <v>-4.947999309740001</v>
      </c>
      <c r="AS54">
        <v>1109</v>
      </c>
      <c r="AT54" t="s">
        <v>73</v>
      </c>
      <c r="AU54" t="s">
        <v>60</v>
      </c>
      <c r="AV54" t="s">
        <v>74</v>
      </c>
      <c r="AW54" t="s">
        <v>74</v>
      </c>
      <c r="AX54" t="s">
        <v>84</v>
      </c>
      <c r="AY54" t="s">
        <v>97</v>
      </c>
    </row>
    <row r="55" spans="1:51" x14ac:dyDescent="0.75">
      <c r="A55" t="s">
        <v>405</v>
      </c>
      <c r="B55" t="s">
        <v>52</v>
      </c>
      <c r="C55" t="s">
        <v>53</v>
      </c>
      <c r="D55" t="s">
        <v>406</v>
      </c>
      <c r="E55" t="s">
        <v>407</v>
      </c>
      <c r="H55" t="s">
        <v>137</v>
      </c>
      <c r="P55" t="s">
        <v>250</v>
      </c>
      <c r="Q55" t="s">
        <v>138</v>
      </c>
      <c r="T55" t="s">
        <v>66</v>
      </c>
      <c r="U55">
        <v>1</v>
      </c>
      <c r="V55" t="s">
        <v>67</v>
      </c>
      <c r="W55" t="s">
        <v>79</v>
      </c>
      <c r="X55" t="s">
        <v>393</v>
      </c>
      <c r="Y55" t="s">
        <v>68</v>
      </c>
      <c r="Z55" t="s">
        <v>69</v>
      </c>
      <c r="AA55">
        <v>105.17</v>
      </c>
      <c r="AB55" t="s">
        <v>57</v>
      </c>
      <c r="AC55">
        <v>6</v>
      </c>
      <c r="AD55">
        <v>25.523683119800712</v>
      </c>
      <c r="AE55" t="s">
        <v>408</v>
      </c>
      <c r="AF55">
        <v>164.5</v>
      </c>
      <c r="AG55">
        <v>6</v>
      </c>
      <c r="AH55">
        <v>68.61020769535682</v>
      </c>
      <c r="AI55" t="s">
        <v>409</v>
      </c>
      <c r="AJ55" t="s">
        <v>74</v>
      </c>
      <c r="AK55">
        <v>1.0576373727970318</v>
      </c>
      <c r="AL55">
        <v>0.37994153384737528</v>
      </c>
      <c r="AM55">
        <v>12</v>
      </c>
      <c r="AN55">
        <v>1</v>
      </c>
      <c r="AO55">
        <v>0.61639397616084413</v>
      </c>
      <c r="AP55">
        <v>1.7158463802395241</v>
      </c>
      <c r="AQ55">
        <v>-0.15047262076566326</v>
      </c>
      <c r="AR55">
        <v>2.2657473663597267</v>
      </c>
      <c r="AS55">
        <v>1118</v>
      </c>
      <c r="AT55" t="s">
        <v>95</v>
      </c>
      <c r="AU55" t="s">
        <v>60</v>
      </c>
      <c r="AV55" t="s">
        <v>96</v>
      </c>
      <c r="AW55" t="s">
        <v>74</v>
      </c>
      <c r="AX55" t="s">
        <v>74</v>
      </c>
      <c r="AY55" t="s">
        <v>96</v>
      </c>
    </row>
    <row r="56" spans="1:51" x14ac:dyDescent="0.75">
      <c r="A56" t="s">
        <v>410</v>
      </c>
      <c r="B56" t="s">
        <v>52</v>
      </c>
      <c r="C56" t="s">
        <v>53</v>
      </c>
      <c r="D56" t="s">
        <v>411</v>
      </c>
      <c r="E56" t="s">
        <v>412</v>
      </c>
      <c r="H56" t="s">
        <v>137</v>
      </c>
      <c r="I56" t="s">
        <v>80</v>
      </c>
      <c r="P56" t="s">
        <v>226</v>
      </c>
      <c r="Q56" t="s">
        <v>63</v>
      </c>
      <c r="R56" t="s">
        <v>103</v>
      </c>
      <c r="S56" t="s">
        <v>200</v>
      </c>
      <c r="T56" t="s">
        <v>66</v>
      </c>
      <c r="U56">
        <v>1</v>
      </c>
      <c r="V56" t="s">
        <v>67</v>
      </c>
      <c r="W56" t="s">
        <v>79</v>
      </c>
      <c r="X56" t="s">
        <v>80</v>
      </c>
      <c r="Y56" t="s">
        <v>68</v>
      </c>
      <c r="Z56" t="s">
        <v>81</v>
      </c>
      <c r="AA56">
        <v>110.5</v>
      </c>
      <c r="AB56" t="s">
        <v>57</v>
      </c>
      <c r="AC56">
        <v>6</v>
      </c>
      <c r="AD56">
        <v>2.424994845355346</v>
      </c>
      <c r="AE56" t="s">
        <v>413</v>
      </c>
      <c r="AF56">
        <v>51.17</v>
      </c>
      <c r="AG56">
        <v>6</v>
      </c>
      <c r="AH56">
        <v>3.4292856398964489</v>
      </c>
      <c r="AI56" t="s">
        <v>414</v>
      </c>
      <c r="AJ56" t="s">
        <v>72</v>
      </c>
      <c r="AK56">
        <v>-18.433790894456028</v>
      </c>
      <c r="AL56">
        <v>14.491860280855416</v>
      </c>
      <c r="AM56">
        <v>12</v>
      </c>
      <c r="AN56">
        <v>1</v>
      </c>
      <c r="AO56">
        <v>3.80681760540946</v>
      </c>
      <c r="AP56">
        <v>-4.8423099830844913</v>
      </c>
      <c r="AQ56">
        <v>-25.89501629677158</v>
      </c>
      <c r="AR56">
        <v>-10.972565492140475</v>
      </c>
      <c r="AS56">
        <v>1123</v>
      </c>
      <c r="AT56" t="s">
        <v>73</v>
      </c>
      <c r="AU56" t="s">
        <v>60</v>
      </c>
      <c r="AV56" t="s">
        <v>84</v>
      </c>
      <c r="AW56" t="s">
        <v>60</v>
      </c>
      <c r="AX56" t="s">
        <v>84</v>
      </c>
      <c r="AY56" t="s">
        <v>74</v>
      </c>
    </row>
    <row r="57" spans="1:51" x14ac:dyDescent="0.75">
      <c r="A57" t="s">
        <v>415</v>
      </c>
      <c r="B57" t="s">
        <v>52</v>
      </c>
      <c r="C57" t="s">
        <v>53</v>
      </c>
      <c r="D57" t="s">
        <v>416</v>
      </c>
      <c r="E57" t="s">
        <v>417</v>
      </c>
      <c r="H57" t="s">
        <v>92</v>
      </c>
      <c r="P57" t="s">
        <v>418</v>
      </c>
      <c r="Q57" t="s">
        <v>419</v>
      </c>
      <c r="R57" t="s">
        <v>64</v>
      </c>
      <c r="T57" t="s">
        <v>66</v>
      </c>
      <c r="U57">
        <v>2</v>
      </c>
      <c r="V57" t="s">
        <v>67</v>
      </c>
      <c r="W57" t="s">
        <v>79</v>
      </c>
      <c r="X57" t="s">
        <v>80</v>
      </c>
      <c r="Y57" t="s">
        <v>68</v>
      </c>
      <c r="Z57" t="s">
        <v>177</v>
      </c>
      <c r="AA57">
        <v>73.5</v>
      </c>
      <c r="AB57" t="s">
        <v>51</v>
      </c>
      <c r="AC57">
        <v>10</v>
      </c>
      <c r="AD57">
        <v>8.8543774484714621</v>
      </c>
      <c r="AE57" t="s">
        <v>354</v>
      </c>
      <c r="AF57">
        <v>68.599999999999994</v>
      </c>
      <c r="AG57">
        <v>10</v>
      </c>
      <c r="AH57">
        <v>9.4868329805051381</v>
      </c>
      <c r="AI57" t="s">
        <v>81</v>
      </c>
      <c r="AJ57" t="s">
        <v>259</v>
      </c>
      <c r="AK57">
        <v>-0.51138175224067195</v>
      </c>
      <c r="AL57">
        <v>0.20653778241311851</v>
      </c>
      <c r="AM57">
        <v>20</v>
      </c>
      <c r="AN57">
        <v>1</v>
      </c>
      <c r="AO57">
        <v>0.45446428067904138</v>
      </c>
      <c r="AP57">
        <v>-1.1252408032520991</v>
      </c>
      <c r="AQ57">
        <v>-1.4021153746314954</v>
      </c>
      <c r="AR57">
        <v>0.37935187015015137</v>
      </c>
      <c r="AS57">
        <v>1141</v>
      </c>
      <c r="AT57" t="s">
        <v>73</v>
      </c>
      <c r="AU57" t="s">
        <v>60</v>
      </c>
      <c r="AV57" t="s">
        <v>74</v>
      </c>
      <c r="AW57" t="s">
        <v>74</v>
      </c>
      <c r="AX57" t="s">
        <v>96</v>
      </c>
      <c r="AY57" t="s">
        <v>97</v>
      </c>
    </row>
    <row r="58" spans="1:51" x14ac:dyDescent="0.75">
      <c r="A58" t="s">
        <v>420</v>
      </c>
      <c r="B58" t="s">
        <v>52</v>
      </c>
      <c r="C58" t="s">
        <v>53</v>
      </c>
      <c r="D58" t="s">
        <v>421</v>
      </c>
      <c r="E58" t="s">
        <v>422</v>
      </c>
      <c r="H58" t="s">
        <v>137</v>
      </c>
      <c r="K58" t="s">
        <v>81</v>
      </c>
      <c r="P58" t="s">
        <v>423</v>
      </c>
      <c r="Q58" t="s">
        <v>63</v>
      </c>
      <c r="R58" t="s">
        <v>64</v>
      </c>
      <c r="S58" t="s">
        <v>219</v>
      </c>
      <c r="T58" t="s">
        <v>66</v>
      </c>
      <c r="U58">
        <v>1</v>
      </c>
      <c r="V58" t="s">
        <v>67</v>
      </c>
      <c r="W58" t="s">
        <v>294</v>
      </c>
      <c r="Y58" t="s">
        <v>68</v>
      </c>
      <c r="Z58" t="s">
        <v>69</v>
      </c>
      <c r="AA58">
        <v>78.599999999999994</v>
      </c>
      <c r="AB58" t="s">
        <v>177</v>
      </c>
      <c r="AC58">
        <v>6</v>
      </c>
      <c r="AD58">
        <v>7.5934182026278521</v>
      </c>
      <c r="AE58" t="s">
        <v>159</v>
      </c>
      <c r="AF58">
        <v>86.5</v>
      </c>
      <c r="AG58">
        <v>6</v>
      </c>
      <c r="AH58">
        <v>6.1237243569579451</v>
      </c>
      <c r="AI58" t="s">
        <v>424</v>
      </c>
      <c r="AJ58" t="s">
        <v>72</v>
      </c>
      <c r="AK58">
        <v>1.0568098664344714</v>
      </c>
      <c r="AL58">
        <v>0.37986862890805184</v>
      </c>
      <c r="AM58">
        <v>12</v>
      </c>
      <c r="AN58">
        <v>1</v>
      </c>
      <c r="AO58">
        <v>0.61633483505968722</v>
      </c>
      <c r="AP58">
        <v>1.7146684015225711</v>
      </c>
      <c r="AQ58">
        <v>-0.15118421269995008</v>
      </c>
      <c r="AR58">
        <v>2.2648039455688931</v>
      </c>
      <c r="AS58">
        <v>1149</v>
      </c>
      <c r="AT58" t="s">
        <v>95</v>
      </c>
      <c r="AU58" t="s">
        <v>60</v>
      </c>
      <c r="AV58" t="s">
        <v>74</v>
      </c>
      <c r="AW58" t="s">
        <v>74</v>
      </c>
      <c r="AX58" t="s">
        <v>74</v>
      </c>
      <c r="AY58" t="s">
        <v>97</v>
      </c>
    </row>
    <row r="59" spans="1:51" x14ac:dyDescent="0.75">
      <c r="A59" t="s">
        <v>425</v>
      </c>
      <c r="B59" t="s">
        <v>52</v>
      </c>
      <c r="C59" t="s">
        <v>53</v>
      </c>
      <c r="D59" t="s">
        <v>426</v>
      </c>
      <c r="E59" t="s">
        <v>427</v>
      </c>
      <c r="F59" t="s">
        <v>56</v>
      </c>
      <c r="G59" t="s">
        <v>69</v>
      </c>
      <c r="H59" t="s">
        <v>119</v>
      </c>
      <c r="L59" t="s">
        <v>60</v>
      </c>
      <c r="P59" t="s">
        <v>428</v>
      </c>
      <c r="Q59" t="s">
        <v>63</v>
      </c>
      <c r="R59" t="s">
        <v>64</v>
      </c>
      <c r="S59" t="s">
        <v>109</v>
      </c>
      <c r="T59" t="s">
        <v>66</v>
      </c>
      <c r="U59">
        <v>2</v>
      </c>
      <c r="V59" t="s">
        <v>91</v>
      </c>
      <c r="W59" t="s">
        <v>79</v>
      </c>
      <c r="X59" t="s">
        <v>139</v>
      </c>
      <c r="Y59" t="s">
        <v>68</v>
      </c>
      <c r="Z59" t="s">
        <v>69</v>
      </c>
      <c r="AA59">
        <v>94.56</v>
      </c>
      <c r="AB59" t="s">
        <v>57</v>
      </c>
      <c r="AC59">
        <v>6</v>
      </c>
      <c r="AD59">
        <v>19.522433249981926</v>
      </c>
      <c r="AE59" t="s">
        <v>429</v>
      </c>
      <c r="AF59">
        <v>14.85</v>
      </c>
      <c r="AG59">
        <v>6</v>
      </c>
      <c r="AH59">
        <v>6.2217039466692743</v>
      </c>
      <c r="AI59" t="s">
        <v>430</v>
      </c>
      <c r="AJ59" t="s">
        <v>72</v>
      </c>
      <c r="AK59">
        <v>-5.0765711008204395</v>
      </c>
      <c r="AL59">
        <v>1.4071489225702187</v>
      </c>
      <c r="AM59">
        <v>12</v>
      </c>
      <c r="AN59">
        <v>1</v>
      </c>
      <c r="AO59">
        <v>1.1862330810469832</v>
      </c>
      <c r="AP59">
        <v>-4.2795730298971248</v>
      </c>
      <c r="AQ59">
        <v>-7.4015452169425089</v>
      </c>
      <c r="AR59">
        <v>-2.7515969846983697</v>
      </c>
      <c r="AS59">
        <v>1171</v>
      </c>
      <c r="AT59" t="s">
        <v>73</v>
      </c>
      <c r="AU59" t="s">
        <v>60</v>
      </c>
      <c r="AV59" t="s">
        <v>74</v>
      </c>
      <c r="AW59" t="s">
        <v>74</v>
      </c>
      <c r="AX59" t="s">
        <v>74</v>
      </c>
      <c r="AY59" t="s">
        <v>97</v>
      </c>
    </row>
    <row r="60" spans="1:51" x14ac:dyDescent="0.75">
      <c r="A60" t="s">
        <v>431</v>
      </c>
      <c r="B60" t="s">
        <v>52</v>
      </c>
      <c r="C60" t="s">
        <v>53</v>
      </c>
      <c r="D60" t="s">
        <v>432</v>
      </c>
      <c r="E60" t="s">
        <v>157</v>
      </c>
      <c r="F60" t="s">
        <v>56</v>
      </c>
      <c r="G60" t="s">
        <v>139</v>
      </c>
      <c r="H60" t="s">
        <v>119</v>
      </c>
      <c r="M60" t="s">
        <v>145</v>
      </c>
      <c r="P60" t="s">
        <v>158</v>
      </c>
      <c r="Q60" t="s">
        <v>63</v>
      </c>
      <c r="R60" t="s">
        <v>64</v>
      </c>
      <c r="T60" t="s">
        <v>66</v>
      </c>
      <c r="U60">
        <v>2</v>
      </c>
      <c r="V60" t="s">
        <v>91</v>
      </c>
      <c r="W60" t="s">
        <v>79</v>
      </c>
      <c r="X60" t="s">
        <v>80</v>
      </c>
      <c r="Y60" t="s">
        <v>68</v>
      </c>
      <c r="Z60" t="s">
        <v>69</v>
      </c>
      <c r="AA60">
        <v>45.83</v>
      </c>
      <c r="AB60" t="s">
        <v>109</v>
      </c>
      <c r="AC60">
        <v>12</v>
      </c>
      <c r="AD60">
        <v>6.8589211979727533</v>
      </c>
      <c r="AE60" t="s">
        <v>433</v>
      </c>
      <c r="AF60">
        <v>24.28</v>
      </c>
      <c r="AG60">
        <v>7</v>
      </c>
      <c r="AH60">
        <v>20.134167477201537</v>
      </c>
      <c r="AI60" t="s">
        <v>434</v>
      </c>
      <c r="AJ60" t="s">
        <v>72</v>
      </c>
      <c r="AK60">
        <v>-1.5625339155574578</v>
      </c>
      <c r="AL60">
        <v>0.29044079822382673</v>
      </c>
      <c r="AM60">
        <v>19</v>
      </c>
      <c r="AN60">
        <v>1</v>
      </c>
      <c r="AO60">
        <v>0.53892559618543512</v>
      </c>
      <c r="AP60">
        <v>-2.8993499782107519</v>
      </c>
      <c r="AQ60">
        <v>-2.6188086744276875</v>
      </c>
      <c r="AR60">
        <v>-0.50625915668722832</v>
      </c>
      <c r="AS60">
        <v>1173</v>
      </c>
      <c r="AT60" t="s">
        <v>73</v>
      </c>
      <c r="AU60" t="s">
        <v>60</v>
      </c>
      <c r="AV60" t="s">
        <v>74</v>
      </c>
      <c r="AW60" t="s">
        <v>74</v>
      </c>
      <c r="AX60" t="s">
        <v>84</v>
      </c>
      <c r="AY60" t="s">
        <v>97</v>
      </c>
    </row>
    <row r="61" spans="1:51" x14ac:dyDescent="0.75">
      <c r="A61" t="s">
        <v>435</v>
      </c>
      <c r="B61" t="s">
        <v>52</v>
      </c>
      <c r="C61" t="s">
        <v>53</v>
      </c>
      <c r="D61" t="s">
        <v>436</v>
      </c>
      <c r="E61" t="s">
        <v>437</v>
      </c>
      <c r="H61" t="s">
        <v>128</v>
      </c>
      <c r="I61" t="s">
        <v>80</v>
      </c>
      <c r="P61" t="s">
        <v>351</v>
      </c>
      <c r="Q61" t="s">
        <v>63</v>
      </c>
      <c r="R61" t="s">
        <v>64</v>
      </c>
      <c r="S61" t="s">
        <v>131</v>
      </c>
      <c r="T61" t="s">
        <v>66</v>
      </c>
      <c r="U61">
        <v>1</v>
      </c>
      <c r="V61" t="s">
        <v>67</v>
      </c>
      <c r="W61" t="s">
        <v>79</v>
      </c>
      <c r="X61" t="s">
        <v>80</v>
      </c>
      <c r="Y61" t="s">
        <v>68</v>
      </c>
      <c r="AA61">
        <v>47.68</v>
      </c>
      <c r="AB61" t="s">
        <v>69</v>
      </c>
      <c r="AC61">
        <v>5</v>
      </c>
      <c r="AD61">
        <v>41.009486707346134</v>
      </c>
      <c r="AE61" t="s">
        <v>438</v>
      </c>
      <c r="AF61">
        <v>25.67</v>
      </c>
      <c r="AG61">
        <v>5</v>
      </c>
      <c r="AH61">
        <v>55.074354285819815</v>
      </c>
      <c r="AI61" t="s">
        <v>439</v>
      </c>
      <c r="AJ61" t="s">
        <v>72</v>
      </c>
      <c r="AK61">
        <v>-0.40920503163445282</v>
      </c>
      <c r="AL61">
        <v>0.40837243789574768</v>
      </c>
      <c r="AM61">
        <v>10</v>
      </c>
      <c r="AN61">
        <v>1</v>
      </c>
      <c r="AO61">
        <v>0.63904024747722088</v>
      </c>
      <c r="AP61">
        <v>-0.64034312901244816</v>
      </c>
      <c r="AQ61">
        <v>-1.6617009013613688</v>
      </c>
      <c r="AR61">
        <v>0.84329083809246308</v>
      </c>
      <c r="AS61">
        <v>1199</v>
      </c>
      <c r="AT61" t="s">
        <v>73</v>
      </c>
      <c r="AU61" t="s">
        <v>60</v>
      </c>
      <c r="AV61" t="s">
        <v>74</v>
      </c>
      <c r="AW61" t="s">
        <v>74</v>
      </c>
      <c r="AX61" t="s">
        <v>84</v>
      </c>
      <c r="AY61" t="s">
        <v>84</v>
      </c>
    </row>
    <row r="62" spans="1:51" x14ac:dyDescent="0.75">
      <c r="A62" t="s">
        <v>440</v>
      </c>
      <c r="B62" t="s">
        <v>52</v>
      </c>
      <c r="C62" t="s">
        <v>53</v>
      </c>
      <c r="D62" t="s">
        <v>441</v>
      </c>
      <c r="E62" t="s">
        <v>442</v>
      </c>
      <c r="M62" t="s">
        <v>164</v>
      </c>
      <c r="N62" t="s">
        <v>443</v>
      </c>
      <c r="P62" t="s">
        <v>444</v>
      </c>
      <c r="Q62" t="s">
        <v>445</v>
      </c>
      <c r="T62" t="s">
        <v>66</v>
      </c>
      <c r="U62">
        <v>1.5</v>
      </c>
      <c r="Y62" t="s">
        <v>68</v>
      </c>
      <c r="Z62" t="s">
        <v>57</v>
      </c>
      <c r="AA62">
        <v>159.18</v>
      </c>
      <c r="AB62" t="s">
        <v>51</v>
      </c>
      <c r="AC62">
        <v>10</v>
      </c>
      <c r="AD62">
        <v>45.157324987204461</v>
      </c>
      <c r="AE62" t="s">
        <v>446</v>
      </c>
      <c r="AF62">
        <v>312.24</v>
      </c>
      <c r="AG62">
        <v>10</v>
      </c>
      <c r="AH62">
        <v>116.15045845798457</v>
      </c>
      <c r="AI62" t="s">
        <v>447</v>
      </c>
      <c r="AJ62" t="s">
        <v>74</v>
      </c>
      <c r="AK62">
        <v>1.6633919355362172</v>
      </c>
      <c r="AL62">
        <v>0.26917181828017311</v>
      </c>
      <c r="AM62">
        <v>20</v>
      </c>
      <c r="AN62">
        <v>1</v>
      </c>
      <c r="AO62">
        <v>0.51881771199543014</v>
      </c>
      <c r="AP62">
        <v>3.2061201787784546</v>
      </c>
      <c r="AQ62">
        <v>0.64652790548369987</v>
      </c>
      <c r="AR62">
        <v>2.6802559655887346</v>
      </c>
      <c r="AS62">
        <v>1200</v>
      </c>
      <c r="AT62" t="s">
        <v>73</v>
      </c>
      <c r="AU62" t="s">
        <v>60</v>
      </c>
      <c r="AV62" t="s">
        <v>74</v>
      </c>
      <c r="AW62" t="s">
        <v>74</v>
      </c>
      <c r="AX62" t="s">
        <v>84</v>
      </c>
      <c r="AY62" t="s">
        <v>97</v>
      </c>
    </row>
    <row r="63" spans="1:51" x14ac:dyDescent="0.75">
      <c r="A63" t="s">
        <v>440</v>
      </c>
      <c r="B63" t="s">
        <v>52</v>
      </c>
      <c r="C63" t="s">
        <v>53</v>
      </c>
      <c r="D63" t="s">
        <v>441</v>
      </c>
      <c r="E63" t="s">
        <v>442</v>
      </c>
      <c r="M63" t="s">
        <v>164</v>
      </c>
      <c r="N63" t="s">
        <v>443</v>
      </c>
      <c r="P63" t="s">
        <v>444</v>
      </c>
      <c r="Q63" t="s">
        <v>445</v>
      </c>
      <c r="T63" t="s">
        <v>66</v>
      </c>
      <c r="U63">
        <v>1.5</v>
      </c>
      <c r="Y63" t="s">
        <v>68</v>
      </c>
      <c r="Z63" t="s">
        <v>57</v>
      </c>
      <c r="AA63">
        <v>159.18</v>
      </c>
      <c r="AB63" t="s">
        <v>51</v>
      </c>
      <c r="AC63">
        <v>10</v>
      </c>
      <c r="AD63">
        <v>45.157324987204461</v>
      </c>
      <c r="AE63" t="s">
        <v>446</v>
      </c>
      <c r="AF63">
        <v>312.24</v>
      </c>
      <c r="AG63">
        <v>10</v>
      </c>
      <c r="AH63">
        <v>116.15045845798457</v>
      </c>
      <c r="AI63" t="s">
        <v>447</v>
      </c>
      <c r="AJ63" t="s">
        <v>74</v>
      </c>
      <c r="AK63">
        <v>1.6633919355362172</v>
      </c>
      <c r="AL63">
        <v>0.26917181828017311</v>
      </c>
      <c r="AM63">
        <v>20</v>
      </c>
      <c r="AN63">
        <v>1</v>
      </c>
      <c r="AO63">
        <v>0.51881771199543014</v>
      </c>
      <c r="AP63">
        <v>3.2061201787784546</v>
      </c>
      <c r="AQ63">
        <v>0.64652790548369987</v>
      </c>
      <c r="AR63">
        <v>2.6802559655887346</v>
      </c>
      <c r="AS63">
        <v>1200</v>
      </c>
      <c r="AT63" t="s">
        <v>95</v>
      </c>
      <c r="AU63" t="s">
        <v>68</v>
      </c>
      <c r="AV63" t="s">
        <v>74</v>
      </c>
      <c r="AW63" t="s">
        <v>74</v>
      </c>
      <c r="AX63" t="s">
        <v>84</v>
      </c>
      <c r="AY63" t="s">
        <v>97</v>
      </c>
    </row>
    <row r="64" spans="1:51" x14ac:dyDescent="0.75">
      <c r="A64" t="s">
        <v>448</v>
      </c>
      <c r="B64" t="s">
        <v>52</v>
      </c>
      <c r="C64" t="s">
        <v>53</v>
      </c>
      <c r="D64" t="s">
        <v>449</v>
      </c>
      <c r="E64" t="s">
        <v>305</v>
      </c>
      <c r="H64" t="s">
        <v>299</v>
      </c>
      <c r="P64" t="s">
        <v>158</v>
      </c>
      <c r="Q64" t="s">
        <v>63</v>
      </c>
      <c r="R64" t="s">
        <v>64</v>
      </c>
      <c r="T64" t="s">
        <v>66</v>
      </c>
      <c r="U64">
        <v>1</v>
      </c>
      <c r="V64" t="s">
        <v>91</v>
      </c>
      <c r="W64" t="s">
        <v>79</v>
      </c>
      <c r="X64" t="s">
        <v>139</v>
      </c>
      <c r="Y64" t="s">
        <v>68</v>
      </c>
      <c r="Z64" t="s">
        <v>69</v>
      </c>
      <c r="AA64">
        <v>56.72</v>
      </c>
      <c r="AB64" t="s">
        <v>65</v>
      </c>
      <c r="AC64">
        <v>8</v>
      </c>
      <c r="AD64">
        <v>7.2973419818451708</v>
      </c>
      <c r="AE64" t="s">
        <v>450</v>
      </c>
      <c r="AF64">
        <v>28.24</v>
      </c>
      <c r="AG64">
        <v>8</v>
      </c>
      <c r="AH64">
        <v>7.0427835406180144</v>
      </c>
      <c r="AI64" t="s">
        <v>451</v>
      </c>
      <c r="AJ64" t="s">
        <v>72</v>
      </c>
      <c r="AK64">
        <v>-3.7541587428693122</v>
      </c>
      <c r="AL64">
        <v>0.69042837083319042</v>
      </c>
      <c r="AM64">
        <v>16</v>
      </c>
      <c r="AN64">
        <v>1</v>
      </c>
      <c r="AO64">
        <v>0.83092019522526372</v>
      </c>
      <c r="AP64">
        <v>-4.5180737746439705</v>
      </c>
      <c r="AQ64">
        <v>-5.3827323995378196</v>
      </c>
      <c r="AR64">
        <v>-2.1255850862008048</v>
      </c>
      <c r="AS64">
        <v>1202</v>
      </c>
      <c r="AT64" t="s">
        <v>73</v>
      </c>
      <c r="AU64" t="s">
        <v>60</v>
      </c>
      <c r="AV64" t="s">
        <v>84</v>
      </c>
      <c r="AW64" t="s">
        <v>60</v>
      </c>
      <c r="AX64" t="s">
        <v>84</v>
      </c>
      <c r="AY64" t="s">
        <v>74</v>
      </c>
    </row>
    <row r="65" spans="1:51" x14ac:dyDescent="0.75">
      <c r="A65" t="s">
        <v>452</v>
      </c>
      <c r="B65" t="s">
        <v>52</v>
      </c>
      <c r="C65" t="s">
        <v>53</v>
      </c>
      <c r="D65" t="s">
        <v>453</v>
      </c>
      <c r="E65" t="s">
        <v>454</v>
      </c>
      <c r="H65" t="s">
        <v>119</v>
      </c>
      <c r="I65" t="s">
        <v>80</v>
      </c>
      <c r="P65" t="s">
        <v>158</v>
      </c>
      <c r="Q65" t="s">
        <v>63</v>
      </c>
      <c r="R65" t="s">
        <v>64</v>
      </c>
      <c r="T65" t="s">
        <v>66</v>
      </c>
      <c r="U65">
        <v>1</v>
      </c>
      <c r="W65" t="s">
        <v>79</v>
      </c>
      <c r="X65" t="s">
        <v>139</v>
      </c>
      <c r="Y65" t="s">
        <v>68</v>
      </c>
      <c r="Z65" t="s">
        <v>69</v>
      </c>
      <c r="AA65">
        <v>42</v>
      </c>
      <c r="AB65" t="s">
        <v>455</v>
      </c>
      <c r="AC65">
        <v>19</v>
      </c>
      <c r="AD65">
        <v>8.2819079927272803</v>
      </c>
      <c r="AE65" t="s">
        <v>456</v>
      </c>
      <c r="AF65">
        <v>31.4</v>
      </c>
      <c r="AG65">
        <v>7</v>
      </c>
      <c r="AH65">
        <v>3.439476704383968</v>
      </c>
      <c r="AI65" t="s">
        <v>457</v>
      </c>
      <c r="AJ65" t="s">
        <v>72</v>
      </c>
      <c r="AK65">
        <v>-1.391699926457076</v>
      </c>
      <c r="AL65">
        <v>0.23273542729106186</v>
      </c>
      <c r="AM65">
        <v>26</v>
      </c>
      <c r="AN65">
        <v>1</v>
      </c>
      <c r="AO65">
        <v>0.48242660300926798</v>
      </c>
      <c r="AP65">
        <v>-2.8847910081574413</v>
      </c>
      <c r="AQ65">
        <v>-2.3372386935392435</v>
      </c>
      <c r="AR65">
        <v>-0.44616115937490841</v>
      </c>
      <c r="AS65">
        <v>1216</v>
      </c>
      <c r="AT65" t="s">
        <v>73</v>
      </c>
      <c r="AU65" t="s">
        <v>60</v>
      </c>
      <c r="AV65" t="s">
        <v>74</v>
      </c>
      <c r="AW65" t="s">
        <v>74</v>
      </c>
      <c r="AX65" t="s">
        <v>84</v>
      </c>
      <c r="AY65" t="s">
        <v>114</v>
      </c>
    </row>
    <row r="66" spans="1:51" x14ac:dyDescent="0.75">
      <c r="A66" t="s">
        <v>458</v>
      </c>
      <c r="B66" t="s">
        <v>52</v>
      </c>
      <c r="C66" t="s">
        <v>53</v>
      </c>
      <c r="D66" t="s">
        <v>459</v>
      </c>
      <c r="E66" t="s">
        <v>460</v>
      </c>
      <c r="H66" t="s">
        <v>137</v>
      </c>
      <c r="I66" t="s">
        <v>189</v>
      </c>
      <c r="P66" t="s">
        <v>461</v>
      </c>
      <c r="Q66" t="s">
        <v>63</v>
      </c>
      <c r="R66" t="s">
        <v>64</v>
      </c>
      <c r="T66" t="s">
        <v>66</v>
      </c>
      <c r="U66">
        <v>1</v>
      </c>
      <c r="V66" t="s">
        <v>91</v>
      </c>
      <c r="W66" t="s">
        <v>79</v>
      </c>
      <c r="X66" t="s">
        <v>139</v>
      </c>
      <c r="Y66" t="s">
        <v>68</v>
      </c>
      <c r="Z66" t="s">
        <v>69</v>
      </c>
      <c r="AA66">
        <v>10.17</v>
      </c>
      <c r="AB66" t="s">
        <v>57</v>
      </c>
      <c r="AC66">
        <v>6</v>
      </c>
      <c r="AD66">
        <v>3.1843366656181313</v>
      </c>
      <c r="AE66" t="s">
        <v>457</v>
      </c>
      <c r="AF66">
        <v>31.33</v>
      </c>
      <c r="AG66">
        <v>6</v>
      </c>
      <c r="AH66">
        <v>8.9896273560142621</v>
      </c>
      <c r="AI66" t="s">
        <v>462</v>
      </c>
      <c r="AJ66" t="s">
        <v>72</v>
      </c>
      <c r="AK66">
        <v>2.8953640570148198</v>
      </c>
      <c r="AL66">
        <v>0.68263054261055478</v>
      </c>
      <c r="AM66">
        <v>12</v>
      </c>
      <c r="AN66">
        <v>1</v>
      </c>
      <c r="AO66">
        <v>0.82621458629738243</v>
      </c>
      <c r="AP66">
        <v>3.5043729619809456</v>
      </c>
      <c r="AQ66">
        <v>1.27601322437029</v>
      </c>
      <c r="AR66">
        <v>4.5147148896593494</v>
      </c>
      <c r="AS66">
        <v>1218</v>
      </c>
      <c r="AT66" t="s">
        <v>95</v>
      </c>
      <c r="AU66" t="s">
        <v>60</v>
      </c>
      <c r="AV66" t="s">
        <v>74</v>
      </c>
      <c r="AW66" t="s">
        <v>74</v>
      </c>
      <c r="AX66" t="s">
        <v>74</v>
      </c>
      <c r="AY66" t="s">
        <v>97</v>
      </c>
    </row>
    <row r="67" spans="1:51" x14ac:dyDescent="0.75">
      <c r="A67" t="s">
        <v>463</v>
      </c>
      <c r="B67" t="s">
        <v>52</v>
      </c>
      <c r="C67" t="s">
        <v>53</v>
      </c>
      <c r="D67" t="s">
        <v>464</v>
      </c>
      <c r="P67" t="s">
        <v>465</v>
      </c>
      <c r="Q67" t="s">
        <v>63</v>
      </c>
      <c r="R67" t="s">
        <v>103</v>
      </c>
      <c r="T67" t="s">
        <v>66</v>
      </c>
      <c r="U67">
        <v>0.3</v>
      </c>
      <c r="V67" t="s">
        <v>91</v>
      </c>
      <c r="W67" t="s">
        <v>79</v>
      </c>
      <c r="X67" t="s">
        <v>80</v>
      </c>
      <c r="Y67" t="s">
        <v>68</v>
      </c>
      <c r="Z67" t="s">
        <v>69</v>
      </c>
      <c r="AA67">
        <v>20.8</v>
      </c>
      <c r="AB67" t="s">
        <v>57</v>
      </c>
      <c r="AC67">
        <v>6</v>
      </c>
      <c r="AD67">
        <v>5.4868570238343191</v>
      </c>
      <c r="AE67" t="s">
        <v>466</v>
      </c>
      <c r="AF67">
        <v>78.400000000000006</v>
      </c>
      <c r="AG67">
        <v>6</v>
      </c>
      <c r="AH67">
        <v>23.711060710141162</v>
      </c>
      <c r="AI67" t="s">
        <v>467</v>
      </c>
      <c r="AJ67" t="s">
        <v>72</v>
      </c>
      <c r="AK67">
        <v>3.0884549404228805</v>
      </c>
      <c r="AL67">
        <v>0.73077307995927065</v>
      </c>
      <c r="AM67">
        <v>12</v>
      </c>
      <c r="AN67">
        <v>1</v>
      </c>
      <c r="AO67">
        <v>0.85485266564436158</v>
      </c>
      <c r="AP67">
        <v>3.6128505700978288</v>
      </c>
      <c r="AQ67">
        <v>1.4129745036718713</v>
      </c>
      <c r="AR67">
        <v>4.7639353771738895</v>
      </c>
      <c r="AS67">
        <v>1243</v>
      </c>
      <c r="AT67" t="s">
        <v>95</v>
      </c>
      <c r="AU67" t="s">
        <v>60</v>
      </c>
      <c r="AV67" t="s">
        <v>74</v>
      </c>
      <c r="AW67" t="s">
        <v>74</v>
      </c>
      <c r="AX67" t="s">
        <v>96</v>
      </c>
      <c r="AY67" t="s">
        <v>114</v>
      </c>
    </row>
    <row r="68" spans="1:51" x14ac:dyDescent="0.75">
      <c r="A68" t="s">
        <v>468</v>
      </c>
      <c r="B68" t="s">
        <v>52</v>
      </c>
      <c r="C68" t="s">
        <v>53</v>
      </c>
      <c r="D68" t="s">
        <v>469</v>
      </c>
      <c r="E68" t="s">
        <v>470</v>
      </c>
      <c r="F68" t="s">
        <v>56</v>
      </c>
      <c r="H68" t="s">
        <v>101</v>
      </c>
      <c r="K68" t="s">
        <v>129</v>
      </c>
      <c r="M68" t="s">
        <v>164</v>
      </c>
      <c r="N68" t="s">
        <v>471</v>
      </c>
      <c r="P68" t="s">
        <v>472</v>
      </c>
      <c r="Q68" t="s">
        <v>473</v>
      </c>
      <c r="R68" t="s">
        <v>64</v>
      </c>
      <c r="S68" t="s">
        <v>57</v>
      </c>
      <c r="T68" t="s">
        <v>66</v>
      </c>
      <c r="U68">
        <v>1.5</v>
      </c>
      <c r="V68" t="s">
        <v>91</v>
      </c>
      <c r="W68" t="s">
        <v>79</v>
      </c>
      <c r="X68" t="s">
        <v>139</v>
      </c>
      <c r="Y68" t="s">
        <v>68</v>
      </c>
      <c r="Z68" t="s">
        <v>51</v>
      </c>
      <c r="AA68">
        <v>50</v>
      </c>
      <c r="AB68" t="s">
        <v>474</v>
      </c>
      <c r="AC68">
        <v>42</v>
      </c>
      <c r="AD68">
        <v>35.644073841243234</v>
      </c>
      <c r="AE68" t="s">
        <v>122</v>
      </c>
      <c r="AF68">
        <v>87.2</v>
      </c>
      <c r="AG68">
        <v>10</v>
      </c>
      <c r="AH68">
        <v>70.202564055738023</v>
      </c>
      <c r="AI68" t="s">
        <v>475</v>
      </c>
      <c r="AJ68" t="s">
        <v>102</v>
      </c>
      <c r="AK68">
        <v>0.83422463403330838</v>
      </c>
      <c r="AL68">
        <v>0.13050116554056235</v>
      </c>
      <c r="AM68">
        <v>52</v>
      </c>
      <c r="AN68">
        <v>1</v>
      </c>
      <c r="AO68">
        <v>0.36124945057475499</v>
      </c>
      <c r="AP68">
        <v>2.309275855523214</v>
      </c>
      <c r="AQ68">
        <v>0.1261887214719063</v>
      </c>
      <c r="AR68">
        <v>1.5422605465947106</v>
      </c>
      <c r="AS68">
        <v>1253</v>
      </c>
      <c r="AT68" t="s">
        <v>95</v>
      </c>
      <c r="AU68" t="s">
        <v>60</v>
      </c>
      <c r="AV68" t="s">
        <v>74</v>
      </c>
      <c r="AW68" t="s">
        <v>74</v>
      </c>
      <c r="AX68" t="s">
        <v>96</v>
      </c>
      <c r="AY68" t="s">
        <v>96</v>
      </c>
    </row>
    <row r="69" spans="1:51" x14ac:dyDescent="0.75">
      <c r="A69" t="s">
        <v>476</v>
      </c>
      <c r="B69" t="s">
        <v>52</v>
      </c>
      <c r="C69" t="s">
        <v>53</v>
      </c>
      <c r="D69" t="s">
        <v>477</v>
      </c>
      <c r="E69" t="s">
        <v>478</v>
      </c>
      <c r="P69" t="s">
        <v>479</v>
      </c>
      <c r="Q69" t="s">
        <v>63</v>
      </c>
      <c r="R69" t="s">
        <v>103</v>
      </c>
      <c r="T69" t="s">
        <v>66</v>
      </c>
      <c r="U69">
        <v>1</v>
      </c>
      <c r="V69" t="s">
        <v>67</v>
      </c>
      <c r="W69" t="s">
        <v>79</v>
      </c>
      <c r="X69" t="s">
        <v>80</v>
      </c>
      <c r="Y69" t="s">
        <v>68</v>
      </c>
      <c r="Z69" t="s">
        <v>81</v>
      </c>
      <c r="AA69">
        <v>76.8</v>
      </c>
      <c r="AB69" t="s">
        <v>69</v>
      </c>
      <c r="AC69">
        <v>5</v>
      </c>
      <c r="AD69">
        <v>3.3541019662496847</v>
      </c>
      <c r="AE69" t="s">
        <v>480</v>
      </c>
      <c r="AF69">
        <v>31</v>
      </c>
      <c r="AG69">
        <v>5</v>
      </c>
      <c r="AH69">
        <v>1.8782971010998233</v>
      </c>
      <c r="AI69" t="s">
        <v>481</v>
      </c>
      <c r="AJ69" t="s">
        <v>72</v>
      </c>
      <c r="AK69">
        <v>-15.209596442480541</v>
      </c>
      <c r="AL69">
        <v>11.966591197155836</v>
      </c>
      <c r="AM69">
        <v>10</v>
      </c>
      <c r="AN69">
        <v>1</v>
      </c>
      <c r="AO69">
        <v>3.4592761088348869</v>
      </c>
      <c r="AP69">
        <v>-4.3967569988517798</v>
      </c>
      <c r="AQ69">
        <v>-21.989653028376779</v>
      </c>
      <c r="AR69">
        <v>-8.4295398565843023</v>
      </c>
      <c r="AS69">
        <v>1259</v>
      </c>
      <c r="AT69" t="s">
        <v>73</v>
      </c>
      <c r="AU69" t="s">
        <v>60</v>
      </c>
      <c r="AV69" t="s">
        <v>84</v>
      </c>
      <c r="AW69" t="s">
        <v>74</v>
      </c>
      <c r="AX69" t="s">
        <v>74</v>
      </c>
      <c r="AY69" t="s">
        <v>74</v>
      </c>
    </row>
    <row r="70" spans="1:51" x14ac:dyDescent="0.75">
      <c r="A70" t="s">
        <v>482</v>
      </c>
      <c r="B70" t="s">
        <v>52</v>
      </c>
      <c r="C70" t="s">
        <v>53</v>
      </c>
      <c r="D70" t="s">
        <v>483</v>
      </c>
      <c r="E70" t="s">
        <v>484</v>
      </c>
      <c r="P70" t="s">
        <v>351</v>
      </c>
      <c r="Q70" t="s">
        <v>63</v>
      </c>
      <c r="R70" t="s">
        <v>103</v>
      </c>
      <c r="T70" t="s">
        <v>66</v>
      </c>
      <c r="U70">
        <v>1</v>
      </c>
      <c r="W70" t="s">
        <v>79</v>
      </c>
      <c r="X70" t="s">
        <v>80</v>
      </c>
      <c r="Y70" t="s">
        <v>68</v>
      </c>
      <c r="Z70" t="s">
        <v>81</v>
      </c>
      <c r="AA70">
        <v>41.25</v>
      </c>
      <c r="AB70" t="s">
        <v>69</v>
      </c>
      <c r="AC70">
        <v>5</v>
      </c>
      <c r="AD70">
        <v>25.31228950529762</v>
      </c>
      <c r="AE70" t="s">
        <v>485</v>
      </c>
      <c r="AF70">
        <v>248.5</v>
      </c>
      <c r="AG70">
        <v>5</v>
      </c>
      <c r="AH70">
        <v>89.778129296616555</v>
      </c>
      <c r="AI70" t="s">
        <v>486</v>
      </c>
      <c r="AJ70" t="s">
        <v>72</v>
      </c>
      <c r="AK70">
        <v>2.8364450793629823</v>
      </c>
      <c r="AL70">
        <v>0.80227103441212377</v>
      </c>
      <c r="AM70">
        <v>10</v>
      </c>
      <c r="AN70">
        <v>1</v>
      </c>
      <c r="AO70">
        <v>0.89569583811253906</v>
      </c>
      <c r="AP70">
        <v>3.1667503170943609</v>
      </c>
      <c r="AQ70">
        <v>1.0809134955599873</v>
      </c>
      <c r="AR70">
        <v>4.5919766631659771</v>
      </c>
      <c r="AS70">
        <v>1272</v>
      </c>
      <c r="AT70" t="s">
        <v>95</v>
      </c>
      <c r="AU70" t="s">
        <v>60</v>
      </c>
      <c r="AV70" t="s">
        <v>74</v>
      </c>
      <c r="AW70" t="s">
        <v>74</v>
      </c>
      <c r="AX70" t="s">
        <v>74</v>
      </c>
      <c r="AY70" t="s">
        <v>114</v>
      </c>
    </row>
    <row r="71" spans="1:51" x14ac:dyDescent="0.75">
      <c r="A71" t="s">
        <v>487</v>
      </c>
      <c r="B71" t="s">
        <v>52</v>
      </c>
      <c r="C71" t="s">
        <v>53</v>
      </c>
      <c r="D71" t="s">
        <v>488</v>
      </c>
      <c r="E71" t="s">
        <v>489</v>
      </c>
      <c r="K71" t="s">
        <v>78</v>
      </c>
      <c r="P71" t="s">
        <v>490</v>
      </c>
      <c r="Q71" t="s">
        <v>138</v>
      </c>
      <c r="R71" t="s">
        <v>103</v>
      </c>
      <c r="T71" t="s">
        <v>66</v>
      </c>
      <c r="U71">
        <v>1</v>
      </c>
      <c r="Y71" t="s">
        <v>68</v>
      </c>
      <c r="Z71" t="s">
        <v>69</v>
      </c>
      <c r="AA71">
        <v>40.299999999999997</v>
      </c>
      <c r="AB71" t="s">
        <v>57</v>
      </c>
      <c r="AC71">
        <v>6</v>
      </c>
      <c r="AD71">
        <v>5.1439284598446742</v>
      </c>
      <c r="AE71" t="s">
        <v>491</v>
      </c>
      <c r="AF71">
        <v>29.5</v>
      </c>
      <c r="AG71">
        <v>6</v>
      </c>
      <c r="AH71">
        <v>8.8181630740194414</v>
      </c>
      <c r="AI71" t="s">
        <v>492</v>
      </c>
      <c r="AJ71" t="s">
        <v>74</v>
      </c>
      <c r="AK71">
        <v>-1.3805279561949393</v>
      </c>
      <c r="AL71">
        <v>0.41274405990982399</v>
      </c>
      <c r="AM71">
        <v>12</v>
      </c>
      <c r="AN71">
        <v>1</v>
      </c>
      <c r="AO71">
        <v>0.64245160121975253</v>
      </c>
      <c r="AP71">
        <v>-2.148843513774239</v>
      </c>
      <c r="AQ71">
        <v>-2.6397099563957429</v>
      </c>
      <c r="AR71">
        <v>-0.12134595599413545</v>
      </c>
      <c r="AS71">
        <v>1277</v>
      </c>
      <c r="AT71" t="s">
        <v>73</v>
      </c>
      <c r="AU71" t="s">
        <v>60</v>
      </c>
      <c r="AV71" t="s">
        <v>74</v>
      </c>
      <c r="AW71" t="s">
        <v>74</v>
      </c>
      <c r="AX71" t="s">
        <v>74</v>
      </c>
      <c r="AY71" t="s">
        <v>74</v>
      </c>
    </row>
    <row r="72" spans="1:51" x14ac:dyDescent="0.75">
      <c r="A72" t="s">
        <v>493</v>
      </c>
      <c r="B72" t="s">
        <v>52</v>
      </c>
      <c r="C72" t="s">
        <v>53</v>
      </c>
      <c r="D72" t="s">
        <v>494</v>
      </c>
      <c r="E72" t="s">
        <v>495</v>
      </c>
      <c r="H72" t="s">
        <v>101</v>
      </c>
      <c r="I72" t="s">
        <v>189</v>
      </c>
      <c r="P72" t="s">
        <v>496</v>
      </c>
      <c r="Q72" t="s">
        <v>293</v>
      </c>
      <c r="R72" t="s">
        <v>64</v>
      </c>
      <c r="S72" t="s">
        <v>69</v>
      </c>
      <c r="T72" t="s">
        <v>66</v>
      </c>
      <c r="U72">
        <v>2</v>
      </c>
      <c r="V72" t="s">
        <v>67</v>
      </c>
      <c r="W72" t="s">
        <v>79</v>
      </c>
      <c r="X72" t="s">
        <v>393</v>
      </c>
      <c r="Y72" t="s">
        <v>68</v>
      </c>
      <c r="Z72" t="s">
        <v>69</v>
      </c>
      <c r="AA72">
        <v>114.4</v>
      </c>
      <c r="AB72" t="s">
        <v>51</v>
      </c>
      <c r="AC72">
        <v>10</v>
      </c>
      <c r="AD72">
        <v>20.365068131484364</v>
      </c>
      <c r="AE72" t="s">
        <v>497</v>
      </c>
      <c r="AF72">
        <v>46</v>
      </c>
      <c r="AG72">
        <v>10</v>
      </c>
      <c r="AH72">
        <v>11.257708470199431</v>
      </c>
      <c r="AI72" t="s">
        <v>498</v>
      </c>
      <c r="AJ72" t="s">
        <v>293</v>
      </c>
      <c r="AK72">
        <v>-3.9809643671175645</v>
      </c>
      <c r="AL72">
        <v>0.59620193230649376</v>
      </c>
      <c r="AM72">
        <v>20</v>
      </c>
      <c r="AN72">
        <v>1</v>
      </c>
      <c r="AO72">
        <v>0.7721411349659425</v>
      </c>
      <c r="AP72">
        <v>-5.155747034890398</v>
      </c>
      <c r="AQ72">
        <v>-5.4943331826326922</v>
      </c>
      <c r="AR72">
        <v>-2.4675955516024364</v>
      </c>
      <c r="AS72">
        <v>1324</v>
      </c>
      <c r="AT72" t="s">
        <v>73</v>
      </c>
      <c r="AU72" t="s">
        <v>60</v>
      </c>
      <c r="AV72" t="s">
        <v>74</v>
      </c>
      <c r="AW72" t="s">
        <v>74</v>
      </c>
      <c r="AX72" t="s">
        <v>84</v>
      </c>
      <c r="AY72" t="s">
        <v>97</v>
      </c>
    </row>
    <row r="73" spans="1:51" x14ac:dyDescent="0.75">
      <c r="A73" t="s">
        <v>499</v>
      </c>
      <c r="B73" t="s">
        <v>52</v>
      </c>
      <c r="C73" t="s">
        <v>53</v>
      </c>
      <c r="D73" t="s">
        <v>500</v>
      </c>
      <c r="E73" t="s">
        <v>501</v>
      </c>
      <c r="F73" t="s">
        <v>56</v>
      </c>
      <c r="G73" t="s">
        <v>92</v>
      </c>
      <c r="L73" t="s">
        <v>60</v>
      </c>
      <c r="P73" t="s">
        <v>502</v>
      </c>
      <c r="Q73" t="s">
        <v>63</v>
      </c>
      <c r="R73" t="s">
        <v>64</v>
      </c>
      <c r="S73" t="s">
        <v>352</v>
      </c>
      <c r="T73" t="s">
        <v>66</v>
      </c>
      <c r="U73">
        <v>2</v>
      </c>
      <c r="V73" t="s">
        <v>91</v>
      </c>
      <c r="W73" t="s">
        <v>79</v>
      </c>
      <c r="X73" t="s">
        <v>118</v>
      </c>
      <c r="Y73" t="s">
        <v>68</v>
      </c>
      <c r="Z73" t="s">
        <v>81</v>
      </c>
      <c r="AA73">
        <v>75</v>
      </c>
      <c r="AB73" t="s">
        <v>109</v>
      </c>
      <c r="AC73">
        <v>12</v>
      </c>
      <c r="AD73">
        <v>20.784609690826528</v>
      </c>
      <c r="AE73" t="s">
        <v>57</v>
      </c>
      <c r="AF73">
        <v>81</v>
      </c>
      <c r="AG73">
        <v>8</v>
      </c>
      <c r="AH73">
        <v>9.6166522241370469</v>
      </c>
      <c r="AI73" t="s">
        <v>153</v>
      </c>
      <c r="AJ73" t="s">
        <v>72</v>
      </c>
      <c r="AK73">
        <v>0.33175811378099807</v>
      </c>
      <c r="AL73">
        <v>0.21108491948482144</v>
      </c>
      <c r="AM73">
        <v>20</v>
      </c>
      <c r="AN73">
        <v>1</v>
      </c>
      <c r="AO73">
        <v>0.45943978874801589</v>
      </c>
      <c r="AP73">
        <v>0.72209269180853197</v>
      </c>
      <c r="AQ73">
        <v>-0.56872732522980374</v>
      </c>
      <c r="AR73">
        <v>1.2322435527917999</v>
      </c>
      <c r="AS73">
        <v>1346</v>
      </c>
      <c r="AT73" t="s">
        <v>95</v>
      </c>
      <c r="AU73" t="s">
        <v>60</v>
      </c>
      <c r="AV73" t="s">
        <v>74</v>
      </c>
      <c r="AW73" t="s">
        <v>74</v>
      </c>
      <c r="AX73" t="s">
        <v>74</v>
      </c>
      <c r="AY73" t="s">
        <v>74</v>
      </c>
    </row>
    <row r="74" spans="1:51" x14ac:dyDescent="0.75">
      <c r="A74" t="s">
        <v>503</v>
      </c>
      <c r="B74" t="s">
        <v>52</v>
      </c>
      <c r="C74" t="s">
        <v>53</v>
      </c>
      <c r="D74" t="s">
        <v>504</v>
      </c>
      <c r="E74" t="s">
        <v>505</v>
      </c>
      <c r="P74" t="s">
        <v>428</v>
      </c>
      <c r="Q74" t="s">
        <v>63</v>
      </c>
      <c r="R74" t="s">
        <v>103</v>
      </c>
      <c r="T74" t="s">
        <v>66</v>
      </c>
      <c r="U74">
        <v>0.5</v>
      </c>
      <c r="W74" t="s">
        <v>79</v>
      </c>
      <c r="X74" t="s">
        <v>139</v>
      </c>
      <c r="Y74" t="s">
        <v>68</v>
      </c>
      <c r="Z74" t="s">
        <v>69</v>
      </c>
      <c r="AA74">
        <v>122</v>
      </c>
      <c r="AB74" t="s">
        <v>57</v>
      </c>
      <c r="AC74">
        <v>6</v>
      </c>
      <c r="AD74">
        <v>13.815122149297123</v>
      </c>
      <c r="AE74" t="s">
        <v>506</v>
      </c>
      <c r="AF74">
        <v>128.66999999999999</v>
      </c>
      <c r="AG74">
        <v>6</v>
      </c>
      <c r="AH74">
        <v>5.5358468186899819</v>
      </c>
      <c r="AI74" t="s">
        <v>507</v>
      </c>
      <c r="AJ74" t="s">
        <v>72</v>
      </c>
      <c r="AK74">
        <v>0.58483427372048435</v>
      </c>
      <c r="AL74">
        <v>0.34758463032159026</v>
      </c>
      <c r="AM74">
        <v>12</v>
      </c>
      <c r="AN74">
        <v>1</v>
      </c>
      <c r="AO74">
        <v>0.58956308425951354</v>
      </c>
      <c r="AP74">
        <v>0.99197912714469139</v>
      </c>
      <c r="AQ74">
        <v>-0.57068813804251528</v>
      </c>
      <c r="AR74">
        <v>1.740356685483484</v>
      </c>
      <c r="AS74">
        <v>1352</v>
      </c>
      <c r="AT74" t="s">
        <v>95</v>
      </c>
      <c r="AU74" t="s">
        <v>60</v>
      </c>
      <c r="AV74" t="s">
        <v>74</v>
      </c>
      <c r="AW74" t="s">
        <v>74</v>
      </c>
      <c r="AX74" t="s">
        <v>74</v>
      </c>
      <c r="AY74" t="s">
        <v>96</v>
      </c>
    </row>
    <row r="75" spans="1:51" x14ac:dyDescent="0.75">
      <c r="A75" t="s">
        <v>508</v>
      </c>
      <c r="B75" t="s">
        <v>52</v>
      </c>
      <c r="C75" t="s">
        <v>53</v>
      </c>
      <c r="D75" t="s">
        <v>509</v>
      </c>
      <c r="E75" t="s">
        <v>442</v>
      </c>
      <c r="M75" t="s">
        <v>164</v>
      </c>
      <c r="N75" t="s">
        <v>443</v>
      </c>
      <c r="P75" t="s">
        <v>444</v>
      </c>
      <c r="Q75" t="s">
        <v>445</v>
      </c>
      <c r="T75" t="s">
        <v>66</v>
      </c>
      <c r="U75">
        <v>1.5</v>
      </c>
      <c r="Y75" t="s">
        <v>68</v>
      </c>
      <c r="Z75" t="s">
        <v>57</v>
      </c>
      <c r="AA75">
        <v>160.28</v>
      </c>
      <c r="AB75" t="s">
        <v>51</v>
      </c>
      <c r="AC75">
        <v>10</v>
      </c>
      <c r="AD75">
        <v>35.891851442911104</v>
      </c>
      <c r="AE75" t="s">
        <v>510</v>
      </c>
      <c r="AF75">
        <v>312.06</v>
      </c>
      <c r="AG75">
        <v>10</v>
      </c>
      <c r="AH75">
        <v>125.60566866188803</v>
      </c>
      <c r="AI75" t="s">
        <v>511</v>
      </c>
      <c r="AJ75" t="s">
        <v>74</v>
      </c>
      <c r="AK75">
        <v>1.5735533726744781</v>
      </c>
      <c r="AL75">
        <v>0.26190175541638067</v>
      </c>
      <c r="AM75">
        <v>20</v>
      </c>
      <c r="AN75">
        <v>1</v>
      </c>
      <c r="AO75">
        <v>0.51176337834626329</v>
      </c>
      <c r="AP75">
        <v>3.0747674399042269</v>
      </c>
      <c r="AQ75">
        <v>0.57051558250925694</v>
      </c>
      <c r="AR75">
        <v>2.5765911628396996</v>
      </c>
      <c r="AS75">
        <v>1359</v>
      </c>
      <c r="AT75" t="s">
        <v>95</v>
      </c>
      <c r="AU75" t="s">
        <v>60</v>
      </c>
      <c r="AV75" t="s">
        <v>84</v>
      </c>
      <c r="AW75" t="s">
        <v>74</v>
      </c>
      <c r="AX75" t="s">
        <v>96</v>
      </c>
      <c r="AY75" t="s">
        <v>97</v>
      </c>
    </row>
    <row r="76" spans="1:51" x14ac:dyDescent="0.75">
      <c r="A76" t="s">
        <v>512</v>
      </c>
      <c r="B76" t="s">
        <v>52</v>
      </c>
      <c r="C76" t="s">
        <v>53</v>
      </c>
      <c r="D76" t="s">
        <v>513</v>
      </c>
      <c r="E76" t="s">
        <v>514</v>
      </c>
      <c r="H76" t="s">
        <v>515</v>
      </c>
      <c r="I76" t="s">
        <v>80</v>
      </c>
      <c r="Q76" t="s">
        <v>63</v>
      </c>
      <c r="R76" t="s">
        <v>103</v>
      </c>
      <c r="S76" t="s">
        <v>352</v>
      </c>
      <c r="T76" t="s">
        <v>66</v>
      </c>
      <c r="U76">
        <v>1</v>
      </c>
      <c r="V76" t="s">
        <v>91</v>
      </c>
      <c r="W76" t="s">
        <v>79</v>
      </c>
      <c r="X76" t="s">
        <v>139</v>
      </c>
      <c r="Y76" t="s">
        <v>68</v>
      </c>
      <c r="Z76" t="s">
        <v>69</v>
      </c>
      <c r="AA76">
        <v>233.01</v>
      </c>
      <c r="AB76" t="s">
        <v>69</v>
      </c>
      <c r="AC76">
        <v>5</v>
      </c>
      <c r="AD76">
        <v>11.113257848173955</v>
      </c>
      <c r="AE76" t="s">
        <v>516</v>
      </c>
      <c r="AF76">
        <v>45</v>
      </c>
      <c r="AG76">
        <v>5</v>
      </c>
      <c r="AH76">
        <v>3.1528558482747036</v>
      </c>
      <c r="AI76" t="s">
        <v>517</v>
      </c>
      <c r="AJ76" t="s">
        <v>72</v>
      </c>
      <c r="AK76">
        <v>-20.77733492538049</v>
      </c>
      <c r="AL76">
        <v>21.984882330071795</v>
      </c>
      <c r="AM76">
        <v>10</v>
      </c>
      <c r="AN76">
        <v>1</v>
      </c>
      <c r="AO76">
        <v>4.6888039338483534</v>
      </c>
      <c r="AP76">
        <v>-4.4312654609823738</v>
      </c>
      <c r="AQ76">
        <v>-29.967221766292987</v>
      </c>
      <c r="AR76">
        <v>-11.587448084467992</v>
      </c>
      <c r="AS76">
        <v>1379</v>
      </c>
      <c r="AT76" t="s">
        <v>73</v>
      </c>
      <c r="AU76" t="s">
        <v>60</v>
      </c>
      <c r="AV76" t="s">
        <v>74</v>
      </c>
      <c r="AW76" t="s">
        <v>74</v>
      </c>
      <c r="AX76" t="s">
        <v>84</v>
      </c>
      <c r="AY76" t="s">
        <v>74</v>
      </c>
    </row>
    <row r="77" spans="1:51" x14ac:dyDescent="0.75">
      <c r="A77" t="s">
        <v>518</v>
      </c>
      <c r="B77" t="s">
        <v>52</v>
      </c>
      <c r="C77" t="s">
        <v>53</v>
      </c>
      <c r="D77" t="s">
        <v>519</v>
      </c>
      <c r="E77" t="s">
        <v>520</v>
      </c>
      <c r="F77" t="s">
        <v>56</v>
      </c>
      <c r="G77" t="s">
        <v>69</v>
      </c>
      <c r="H77" t="s">
        <v>137</v>
      </c>
      <c r="K77" t="s">
        <v>78</v>
      </c>
      <c r="P77" t="s">
        <v>158</v>
      </c>
      <c r="Q77" t="s">
        <v>521</v>
      </c>
      <c r="R77" t="s">
        <v>103</v>
      </c>
      <c r="T77" t="s">
        <v>66</v>
      </c>
      <c r="U77">
        <v>1</v>
      </c>
      <c r="V77" t="s">
        <v>91</v>
      </c>
      <c r="W77" t="s">
        <v>79</v>
      </c>
      <c r="X77" t="s">
        <v>139</v>
      </c>
      <c r="Y77" t="s">
        <v>68</v>
      </c>
      <c r="Z77" t="s">
        <v>51</v>
      </c>
      <c r="AA77">
        <v>61.69</v>
      </c>
      <c r="AB77" t="s">
        <v>69</v>
      </c>
      <c r="AC77">
        <v>5</v>
      </c>
      <c r="AD77">
        <v>6.9094500504743506</v>
      </c>
      <c r="AE77" t="s">
        <v>522</v>
      </c>
      <c r="AF77">
        <v>28.16</v>
      </c>
      <c r="AG77">
        <v>5</v>
      </c>
      <c r="AH77">
        <v>2.5267568145747621</v>
      </c>
      <c r="AI77" t="s">
        <v>523</v>
      </c>
      <c r="AJ77" t="s">
        <v>74</v>
      </c>
      <c r="AK77">
        <v>-5.8182803403629784</v>
      </c>
      <c r="AL77">
        <v>2.0926193059527169</v>
      </c>
      <c r="AM77">
        <v>10</v>
      </c>
      <c r="AN77">
        <v>1</v>
      </c>
      <c r="AO77">
        <v>1.446588851731105</v>
      </c>
      <c r="AP77">
        <v>-4.0220691134183388</v>
      </c>
      <c r="AQ77">
        <v>-8.6535423901930955</v>
      </c>
      <c r="AR77">
        <v>-2.9830182905328608</v>
      </c>
      <c r="AS77">
        <v>1394</v>
      </c>
      <c r="AT77" t="s">
        <v>73</v>
      </c>
      <c r="AU77" t="s">
        <v>60</v>
      </c>
      <c r="AV77" t="s">
        <v>74</v>
      </c>
      <c r="AW77" t="s">
        <v>74</v>
      </c>
      <c r="AX77" t="s">
        <v>84</v>
      </c>
      <c r="AY77" t="s">
        <v>114</v>
      </c>
    </row>
    <row r="78" spans="1:51" x14ac:dyDescent="0.75">
      <c r="A78" t="s">
        <v>524</v>
      </c>
      <c r="B78" t="s">
        <v>52</v>
      </c>
      <c r="C78" t="s">
        <v>53</v>
      </c>
      <c r="D78" t="s">
        <v>525</v>
      </c>
      <c r="E78" t="s">
        <v>218</v>
      </c>
      <c r="H78" t="s">
        <v>299</v>
      </c>
      <c r="P78" t="s">
        <v>158</v>
      </c>
      <c r="Q78" t="s">
        <v>63</v>
      </c>
      <c r="R78" t="s">
        <v>64</v>
      </c>
      <c r="T78" t="s">
        <v>66</v>
      </c>
      <c r="U78">
        <v>2</v>
      </c>
      <c r="V78" t="s">
        <v>91</v>
      </c>
      <c r="W78" t="s">
        <v>79</v>
      </c>
      <c r="X78" t="s">
        <v>139</v>
      </c>
      <c r="Y78" t="s">
        <v>68</v>
      </c>
      <c r="Z78" t="s">
        <v>69</v>
      </c>
      <c r="AA78">
        <v>91.38</v>
      </c>
      <c r="AB78" t="s">
        <v>78</v>
      </c>
      <c r="AC78">
        <v>7</v>
      </c>
      <c r="AD78">
        <v>27.54227114818239</v>
      </c>
      <c r="AE78" t="s">
        <v>526</v>
      </c>
      <c r="AF78">
        <v>35.200000000000003</v>
      </c>
      <c r="AG78">
        <v>7</v>
      </c>
      <c r="AH78">
        <v>17.885278862796632</v>
      </c>
      <c r="AI78" t="s">
        <v>527</v>
      </c>
      <c r="AJ78" t="s">
        <v>72</v>
      </c>
      <c r="AK78">
        <v>-2.2643501551971528</v>
      </c>
      <c r="AL78">
        <v>0.4688314866193346</v>
      </c>
      <c r="AM78">
        <v>14</v>
      </c>
      <c r="AN78">
        <v>1</v>
      </c>
      <c r="AO78">
        <v>0.68471270370815718</v>
      </c>
      <c r="AP78">
        <v>-3.3070076587366475</v>
      </c>
      <c r="AQ78">
        <v>-3.6063623942221859</v>
      </c>
      <c r="AR78">
        <v>-0.92233791617211969</v>
      </c>
      <c r="AS78">
        <v>1428</v>
      </c>
      <c r="AT78" t="s">
        <v>73</v>
      </c>
      <c r="AU78" t="s">
        <v>60</v>
      </c>
      <c r="AV78" t="s">
        <v>84</v>
      </c>
      <c r="AW78" t="s">
        <v>60</v>
      </c>
      <c r="AX78" t="s">
        <v>84</v>
      </c>
      <c r="AY78" t="s">
        <v>97</v>
      </c>
    </row>
    <row r="79" spans="1:51" x14ac:dyDescent="0.75">
      <c r="A79" t="s">
        <v>528</v>
      </c>
      <c r="B79" t="s">
        <v>52</v>
      </c>
      <c r="C79" t="s">
        <v>53</v>
      </c>
      <c r="D79" t="s">
        <v>529</v>
      </c>
      <c r="E79" t="s">
        <v>530</v>
      </c>
      <c r="P79" t="s">
        <v>250</v>
      </c>
      <c r="Q79" t="s">
        <v>63</v>
      </c>
      <c r="R79" t="s">
        <v>64</v>
      </c>
      <c r="T79" t="s">
        <v>66</v>
      </c>
      <c r="U79">
        <v>0.5</v>
      </c>
      <c r="V79" t="s">
        <v>91</v>
      </c>
      <c r="W79" t="s">
        <v>79</v>
      </c>
      <c r="X79" t="s">
        <v>139</v>
      </c>
      <c r="Y79" t="s">
        <v>68</v>
      </c>
      <c r="Z79" t="s">
        <v>69</v>
      </c>
      <c r="AA79">
        <v>134</v>
      </c>
      <c r="AB79" t="s">
        <v>57</v>
      </c>
      <c r="AC79">
        <v>6</v>
      </c>
      <c r="AD79">
        <v>15.970673122946319</v>
      </c>
      <c r="AE79" t="s">
        <v>531</v>
      </c>
      <c r="AF79">
        <v>69.5</v>
      </c>
      <c r="AG79">
        <v>6</v>
      </c>
      <c r="AH79">
        <v>12.418912995910713</v>
      </c>
      <c r="AI79" t="s">
        <v>532</v>
      </c>
      <c r="AJ79" t="s">
        <v>72</v>
      </c>
      <c r="AK79">
        <v>-4.1604487573731141</v>
      </c>
      <c r="AL79">
        <v>1.0545555776136453</v>
      </c>
      <c r="AM79">
        <v>12</v>
      </c>
      <c r="AN79">
        <v>1</v>
      </c>
      <c r="AO79">
        <v>1.0269155649875239</v>
      </c>
      <c r="AP79">
        <v>-4.0514029577725408</v>
      </c>
      <c r="AQ79">
        <v>-6.1731662799122624</v>
      </c>
      <c r="AR79">
        <v>-2.1477312348339663</v>
      </c>
      <c r="AS79">
        <v>1436</v>
      </c>
      <c r="AT79" t="s">
        <v>73</v>
      </c>
      <c r="AU79" t="s">
        <v>60</v>
      </c>
      <c r="AV79" t="s">
        <v>74</v>
      </c>
      <c r="AW79" t="s">
        <v>74</v>
      </c>
      <c r="AX79" t="s">
        <v>74</v>
      </c>
      <c r="AY79" t="s">
        <v>114</v>
      </c>
    </row>
    <row r="80" spans="1:51" x14ac:dyDescent="0.75">
      <c r="A80" t="s">
        <v>533</v>
      </c>
      <c r="B80" t="s">
        <v>52</v>
      </c>
      <c r="C80" t="s">
        <v>53</v>
      </c>
      <c r="D80" t="s">
        <v>534</v>
      </c>
      <c r="E80" t="s">
        <v>535</v>
      </c>
      <c r="H80" t="s">
        <v>128</v>
      </c>
      <c r="P80" t="s">
        <v>158</v>
      </c>
      <c r="Q80" t="s">
        <v>63</v>
      </c>
      <c r="R80" t="s">
        <v>111</v>
      </c>
      <c r="T80" t="s">
        <v>66</v>
      </c>
      <c r="U80">
        <v>1</v>
      </c>
      <c r="V80" t="s">
        <v>91</v>
      </c>
      <c r="W80" t="s">
        <v>79</v>
      </c>
      <c r="X80" t="s">
        <v>139</v>
      </c>
      <c r="Y80" t="s">
        <v>68</v>
      </c>
      <c r="Z80" t="s">
        <v>69</v>
      </c>
      <c r="AA80">
        <v>29.1</v>
      </c>
      <c r="AB80" t="s">
        <v>219</v>
      </c>
      <c r="AC80">
        <v>9</v>
      </c>
      <c r="AD80">
        <v>6.0299999999999994</v>
      </c>
      <c r="AE80" t="s">
        <v>536</v>
      </c>
      <c r="AF80">
        <v>14.05</v>
      </c>
      <c r="AG80">
        <v>9</v>
      </c>
      <c r="AH80">
        <v>6</v>
      </c>
      <c r="AI80" t="s">
        <v>177</v>
      </c>
      <c r="AJ80" t="s">
        <v>72</v>
      </c>
      <c r="AK80">
        <v>-2.3826060933361077</v>
      </c>
      <c r="AL80">
        <v>0.37991143877784306</v>
      </c>
      <c r="AM80">
        <v>18</v>
      </c>
      <c r="AN80">
        <v>1</v>
      </c>
      <c r="AO80">
        <v>0.61636956347457894</v>
      </c>
      <c r="AP80">
        <v>-3.8655479350812785</v>
      </c>
      <c r="AQ80">
        <v>-3.5906682389129569</v>
      </c>
      <c r="AR80">
        <v>-1.1745439477592583</v>
      </c>
      <c r="AS80">
        <v>1446</v>
      </c>
      <c r="AT80" t="s">
        <v>73</v>
      </c>
      <c r="AU80" t="s">
        <v>60</v>
      </c>
      <c r="AV80" t="s">
        <v>74</v>
      </c>
      <c r="AW80" t="s">
        <v>74</v>
      </c>
      <c r="AX80" t="s">
        <v>84</v>
      </c>
      <c r="AY80" t="s">
        <v>97</v>
      </c>
    </row>
    <row r="81" spans="1:51" x14ac:dyDescent="0.75">
      <c r="A81" t="s">
        <v>537</v>
      </c>
      <c r="B81" t="s">
        <v>52</v>
      </c>
      <c r="C81" t="s">
        <v>53</v>
      </c>
      <c r="D81" t="s">
        <v>538</v>
      </c>
      <c r="F81" t="s">
        <v>56</v>
      </c>
      <c r="H81" t="s">
        <v>137</v>
      </c>
      <c r="I81" t="s">
        <v>189</v>
      </c>
      <c r="Q81" t="s">
        <v>138</v>
      </c>
      <c r="R81" t="s">
        <v>64</v>
      </c>
      <c r="T81" t="s">
        <v>66</v>
      </c>
      <c r="U81">
        <v>1</v>
      </c>
      <c r="V81" t="s">
        <v>91</v>
      </c>
      <c r="W81" t="s">
        <v>79</v>
      </c>
      <c r="X81" t="s">
        <v>118</v>
      </c>
      <c r="Y81" t="s">
        <v>68</v>
      </c>
      <c r="AA81">
        <v>118.2</v>
      </c>
      <c r="AB81" t="s">
        <v>92</v>
      </c>
      <c r="AC81">
        <v>20</v>
      </c>
      <c r="AD81">
        <v>72.44860247099318</v>
      </c>
      <c r="AE81" t="s">
        <v>539</v>
      </c>
      <c r="AF81">
        <v>166.6</v>
      </c>
      <c r="AG81">
        <v>8</v>
      </c>
      <c r="AH81">
        <v>27.718585822512665</v>
      </c>
      <c r="AI81" t="s">
        <v>215</v>
      </c>
      <c r="AJ81" t="s">
        <v>74</v>
      </c>
      <c r="AK81">
        <v>0.7390281474830428</v>
      </c>
      <c r="AL81">
        <v>0.18475290362093244</v>
      </c>
      <c r="AM81">
        <v>28</v>
      </c>
      <c r="AN81">
        <v>1</v>
      </c>
      <c r="AO81">
        <v>0.42982892366723352</v>
      </c>
      <c r="AP81">
        <v>1.7193541588075776</v>
      </c>
      <c r="AQ81">
        <v>-0.10342106241835081</v>
      </c>
      <c r="AR81">
        <v>1.5814773573844363</v>
      </c>
      <c r="AS81">
        <v>1477</v>
      </c>
      <c r="AT81" t="s">
        <v>95</v>
      </c>
      <c r="AU81" t="s">
        <v>60</v>
      </c>
      <c r="AV81" t="s">
        <v>74</v>
      </c>
      <c r="AW81" t="s">
        <v>74</v>
      </c>
      <c r="AX81" t="s">
        <v>96</v>
      </c>
      <c r="AY81" t="s">
        <v>96</v>
      </c>
    </row>
    <row r="82" spans="1:51" x14ac:dyDescent="0.75">
      <c r="A82" t="s">
        <v>540</v>
      </c>
      <c r="B82" t="s">
        <v>52</v>
      </c>
      <c r="C82" t="s">
        <v>53</v>
      </c>
      <c r="D82" t="s">
        <v>541</v>
      </c>
      <c r="E82" t="s">
        <v>542</v>
      </c>
      <c r="P82" t="s">
        <v>543</v>
      </c>
      <c r="Q82" t="s">
        <v>138</v>
      </c>
      <c r="T82" t="s">
        <v>66</v>
      </c>
      <c r="U82">
        <v>2</v>
      </c>
      <c r="V82" t="s">
        <v>91</v>
      </c>
      <c r="W82" t="s">
        <v>79</v>
      </c>
      <c r="X82" t="s">
        <v>80</v>
      </c>
      <c r="Y82" t="s">
        <v>68</v>
      </c>
      <c r="Z82" t="s">
        <v>69</v>
      </c>
      <c r="AA82">
        <v>97.39</v>
      </c>
      <c r="AB82" t="s">
        <v>57</v>
      </c>
      <c r="AC82">
        <v>6</v>
      </c>
      <c r="AD82">
        <v>10.851239560529477</v>
      </c>
      <c r="AE82" t="s">
        <v>544</v>
      </c>
      <c r="AF82">
        <v>28.19</v>
      </c>
      <c r="AG82">
        <v>6</v>
      </c>
      <c r="AH82">
        <v>9.136596740581254</v>
      </c>
      <c r="AI82" t="s">
        <v>545</v>
      </c>
      <c r="AJ82" t="s">
        <v>74</v>
      </c>
      <c r="AK82">
        <v>-6.3659052253333099</v>
      </c>
      <c r="AL82">
        <v>2.0218645557469141</v>
      </c>
      <c r="AM82">
        <v>12</v>
      </c>
      <c r="AN82">
        <v>1</v>
      </c>
      <c r="AO82">
        <v>1.4219228374799084</v>
      </c>
      <c r="AP82">
        <v>-4.4769695355731702</v>
      </c>
      <c r="AQ82">
        <v>-9.1528227755889304</v>
      </c>
      <c r="AR82">
        <v>-3.578987675077689</v>
      </c>
      <c r="AS82">
        <v>1486</v>
      </c>
      <c r="AT82" t="s">
        <v>73</v>
      </c>
      <c r="AU82" t="s">
        <v>60</v>
      </c>
      <c r="AV82" t="s">
        <v>84</v>
      </c>
      <c r="AW82" t="s">
        <v>60</v>
      </c>
      <c r="AX82" t="s">
        <v>84</v>
      </c>
      <c r="AY82" t="s">
        <v>97</v>
      </c>
    </row>
    <row r="83" spans="1:51" x14ac:dyDescent="0.75">
      <c r="A83" t="s">
        <v>546</v>
      </c>
      <c r="B83" t="s">
        <v>52</v>
      </c>
      <c r="C83" t="s">
        <v>53</v>
      </c>
      <c r="D83" t="s">
        <v>547</v>
      </c>
      <c r="E83" t="s">
        <v>548</v>
      </c>
      <c r="F83" t="s">
        <v>56</v>
      </c>
      <c r="H83" t="s">
        <v>137</v>
      </c>
      <c r="I83" t="s">
        <v>189</v>
      </c>
      <c r="P83" t="s">
        <v>549</v>
      </c>
      <c r="Q83" t="s">
        <v>63</v>
      </c>
      <c r="R83" t="s">
        <v>103</v>
      </c>
      <c r="T83" t="s">
        <v>66</v>
      </c>
      <c r="U83">
        <v>1</v>
      </c>
      <c r="W83" t="s">
        <v>79</v>
      </c>
      <c r="X83" t="s">
        <v>139</v>
      </c>
      <c r="Y83" t="s">
        <v>68</v>
      </c>
      <c r="Z83" t="s">
        <v>69</v>
      </c>
      <c r="AA83">
        <v>82.6</v>
      </c>
      <c r="AB83" t="s">
        <v>69</v>
      </c>
      <c r="AC83">
        <v>5</v>
      </c>
      <c r="AD83">
        <v>5.5901699437494745</v>
      </c>
      <c r="AE83" t="s">
        <v>424</v>
      </c>
      <c r="AF83">
        <v>101.8</v>
      </c>
      <c r="AG83">
        <v>5</v>
      </c>
      <c r="AH83">
        <v>15.20526224699857</v>
      </c>
      <c r="AI83" t="s">
        <v>550</v>
      </c>
      <c r="AJ83" t="s">
        <v>72</v>
      </c>
      <c r="AK83">
        <v>1.5129967122233601</v>
      </c>
      <c r="AL83">
        <v>0.51445795255993487</v>
      </c>
      <c r="AM83">
        <v>10</v>
      </c>
      <c r="AN83">
        <v>1</v>
      </c>
      <c r="AO83">
        <v>0.7172572429470021</v>
      </c>
      <c r="AP83">
        <v>2.1094199146834618</v>
      </c>
      <c r="AQ83">
        <v>0.10719834839674047</v>
      </c>
      <c r="AR83">
        <v>2.9187950760499799</v>
      </c>
      <c r="AS83">
        <v>1497</v>
      </c>
      <c r="AT83" t="s">
        <v>95</v>
      </c>
      <c r="AU83" t="s">
        <v>60</v>
      </c>
      <c r="AV83" t="s">
        <v>74</v>
      </c>
      <c r="AW83" t="s">
        <v>74</v>
      </c>
      <c r="AX83" t="s">
        <v>96</v>
      </c>
      <c r="AY83" t="s">
        <v>97</v>
      </c>
    </row>
    <row r="84" spans="1:51" x14ac:dyDescent="0.75">
      <c r="A84" t="s">
        <v>551</v>
      </c>
      <c r="B84" t="s">
        <v>52</v>
      </c>
      <c r="C84" t="s">
        <v>53</v>
      </c>
      <c r="D84" t="s">
        <v>552</v>
      </c>
      <c r="E84" t="s">
        <v>553</v>
      </c>
      <c r="H84" t="s">
        <v>119</v>
      </c>
      <c r="I84" t="s">
        <v>80</v>
      </c>
      <c r="Q84" t="s">
        <v>307</v>
      </c>
      <c r="R84" t="s">
        <v>103</v>
      </c>
      <c r="T84" t="s">
        <v>66</v>
      </c>
      <c r="U84">
        <v>1</v>
      </c>
      <c r="V84" t="s">
        <v>91</v>
      </c>
      <c r="W84" t="s">
        <v>79</v>
      </c>
      <c r="X84" t="s">
        <v>80</v>
      </c>
      <c r="Y84" t="s">
        <v>68</v>
      </c>
      <c r="Z84" t="s">
        <v>81</v>
      </c>
      <c r="AA84">
        <v>72.66</v>
      </c>
      <c r="AB84" t="s">
        <v>81</v>
      </c>
      <c r="AC84">
        <v>3</v>
      </c>
      <c r="AD84">
        <v>18.948635834803515</v>
      </c>
      <c r="AE84" t="s">
        <v>554</v>
      </c>
      <c r="AF84">
        <v>39.33</v>
      </c>
      <c r="AG84">
        <v>3</v>
      </c>
      <c r="AH84">
        <v>5.0402678500254332</v>
      </c>
      <c r="AI84" t="s">
        <v>555</v>
      </c>
      <c r="AJ84" t="s">
        <v>74</v>
      </c>
      <c r="AK84">
        <v>-1.9180837224244602</v>
      </c>
      <c r="AL84">
        <v>0.97325376385247275</v>
      </c>
      <c r="AM84">
        <v>6</v>
      </c>
      <c r="AN84">
        <v>1</v>
      </c>
      <c r="AO84">
        <v>0.98653624558475939</v>
      </c>
      <c r="AP84">
        <v>-1.9442607719775522</v>
      </c>
      <c r="AQ84">
        <v>-3.8516592332139501</v>
      </c>
      <c r="AR84">
        <v>1.5491788365029846E-2</v>
      </c>
      <c r="AS84">
        <v>1505</v>
      </c>
      <c r="AT84" t="s">
        <v>73</v>
      </c>
      <c r="AU84" t="s">
        <v>60</v>
      </c>
      <c r="AV84" t="s">
        <v>74</v>
      </c>
      <c r="AW84" t="s">
        <v>74</v>
      </c>
      <c r="AX84" t="s">
        <v>84</v>
      </c>
      <c r="AY84" t="s">
        <v>97</v>
      </c>
    </row>
    <row r="85" spans="1:51" x14ac:dyDescent="0.75">
      <c r="A85" t="s">
        <v>556</v>
      </c>
      <c r="B85" t="s">
        <v>52</v>
      </c>
      <c r="C85" t="s">
        <v>53</v>
      </c>
      <c r="D85" t="s">
        <v>557</v>
      </c>
      <c r="E85" t="s">
        <v>558</v>
      </c>
      <c r="H85" t="s">
        <v>137</v>
      </c>
      <c r="P85" t="s">
        <v>559</v>
      </c>
      <c r="Q85" t="s">
        <v>138</v>
      </c>
      <c r="R85" t="s">
        <v>103</v>
      </c>
      <c r="T85" t="s">
        <v>66</v>
      </c>
      <c r="U85">
        <v>2</v>
      </c>
      <c r="V85" t="s">
        <v>67</v>
      </c>
      <c r="W85" t="s">
        <v>79</v>
      </c>
      <c r="X85" t="s">
        <v>139</v>
      </c>
      <c r="Y85" t="s">
        <v>68</v>
      </c>
      <c r="Z85" t="s">
        <v>139</v>
      </c>
      <c r="AA85">
        <v>282.05</v>
      </c>
      <c r="AB85" t="s">
        <v>424</v>
      </c>
      <c r="AC85">
        <v>5</v>
      </c>
      <c r="AD85">
        <v>22.919696769372845</v>
      </c>
      <c r="AE85" t="s">
        <v>560</v>
      </c>
      <c r="AF85">
        <v>38</v>
      </c>
      <c r="AG85">
        <v>5</v>
      </c>
      <c r="AH85">
        <v>0</v>
      </c>
      <c r="AI85" t="s">
        <v>561</v>
      </c>
      <c r="AJ85" t="s">
        <v>74</v>
      </c>
      <c r="AK85">
        <v>-13.593459217079687</v>
      </c>
      <c r="AL85">
        <v>9.6391066743204359</v>
      </c>
      <c r="AM85">
        <v>10</v>
      </c>
      <c r="AN85">
        <v>1</v>
      </c>
      <c r="AO85">
        <v>3.104691075505007</v>
      </c>
      <c r="AP85">
        <v>-4.3783612882864951</v>
      </c>
      <c r="AQ85">
        <v>-19.678541908192425</v>
      </c>
      <c r="AR85">
        <v>-7.5083765259669484</v>
      </c>
      <c r="AS85">
        <v>1521</v>
      </c>
      <c r="AT85" t="s">
        <v>73</v>
      </c>
      <c r="AU85" t="s">
        <v>60</v>
      </c>
      <c r="AV85" t="s">
        <v>74</v>
      </c>
      <c r="AW85" t="s">
        <v>74</v>
      </c>
      <c r="AX85" t="s">
        <v>74</v>
      </c>
      <c r="AY85" t="s">
        <v>96</v>
      </c>
    </row>
    <row r="86" spans="1:51" x14ac:dyDescent="0.75">
      <c r="A86" t="s">
        <v>562</v>
      </c>
      <c r="B86" t="s">
        <v>52</v>
      </c>
      <c r="C86" t="s">
        <v>53</v>
      </c>
      <c r="D86" t="s">
        <v>563</v>
      </c>
      <c r="E86" t="s">
        <v>564</v>
      </c>
      <c r="Q86" t="s">
        <v>63</v>
      </c>
      <c r="R86" t="s">
        <v>103</v>
      </c>
      <c r="T86" t="s">
        <v>66</v>
      </c>
      <c r="U86">
        <v>1</v>
      </c>
      <c r="V86" t="s">
        <v>91</v>
      </c>
      <c r="W86" t="s">
        <v>79</v>
      </c>
      <c r="X86" t="s">
        <v>139</v>
      </c>
      <c r="Y86" t="s">
        <v>68</v>
      </c>
      <c r="Z86" t="s">
        <v>69</v>
      </c>
      <c r="AA86">
        <v>69.5</v>
      </c>
      <c r="AB86" t="s">
        <v>57</v>
      </c>
      <c r="AC86">
        <v>6</v>
      </c>
      <c r="AD86">
        <v>18.273193481162508</v>
      </c>
      <c r="AE86" t="s">
        <v>565</v>
      </c>
      <c r="AF86">
        <v>78.67</v>
      </c>
      <c r="AG86">
        <v>6</v>
      </c>
      <c r="AH86">
        <v>72.504896386382072</v>
      </c>
      <c r="AI86" t="s">
        <v>566</v>
      </c>
      <c r="AJ86" t="s">
        <v>72</v>
      </c>
      <c r="AK86">
        <v>0.16003929839443162</v>
      </c>
      <c r="AL86">
        <v>0.33440052404294091</v>
      </c>
      <c r="AM86">
        <v>12</v>
      </c>
      <c r="AN86">
        <v>1</v>
      </c>
      <c r="AO86">
        <v>0.57827374490196326</v>
      </c>
      <c r="AP86">
        <v>0.27675352686393129</v>
      </c>
      <c r="AQ86">
        <v>-0.97335641481851898</v>
      </c>
      <c r="AR86">
        <v>1.2934350116073823</v>
      </c>
      <c r="AS86">
        <v>1547</v>
      </c>
      <c r="AT86" t="s">
        <v>95</v>
      </c>
      <c r="AU86" t="s">
        <v>60</v>
      </c>
      <c r="AV86" t="s">
        <v>74</v>
      </c>
      <c r="AW86" t="s">
        <v>74</v>
      </c>
      <c r="AX86" t="s">
        <v>96</v>
      </c>
      <c r="AY86" t="s">
        <v>97</v>
      </c>
    </row>
    <row r="87" spans="1:51" x14ac:dyDescent="0.75">
      <c r="A87" t="s">
        <v>567</v>
      </c>
      <c r="B87" t="s">
        <v>52</v>
      </c>
      <c r="C87" t="s">
        <v>53</v>
      </c>
      <c r="D87" t="s">
        <v>568</v>
      </c>
      <c r="E87" t="s">
        <v>569</v>
      </c>
      <c r="Q87" t="s">
        <v>138</v>
      </c>
      <c r="R87" t="s">
        <v>64</v>
      </c>
      <c r="T87" t="s">
        <v>66</v>
      </c>
      <c r="U87">
        <v>2</v>
      </c>
      <c r="V87" t="s">
        <v>67</v>
      </c>
      <c r="W87" t="s">
        <v>79</v>
      </c>
      <c r="X87" t="s">
        <v>139</v>
      </c>
      <c r="Y87" t="s">
        <v>68</v>
      </c>
      <c r="Z87" t="s">
        <v>139</v>
      </c>
      <c r="AA87">
        <v>209.83</v>
      </c>
      <c r="AB87" t="s">
        <v>57</v>
      </c>
      <c r="AC87">
        <v>6</v>
      </c>
      <c r="AD87">
        <v>9.7244742788492164</v>
      </c>
      <c r="AE87" t="s">
        <v>570</v>
      </c>
      <c r="AF87">
        <v>12.5</v>
      </c>
      <c r="AG87">
        <v>6</v>
      </c>
      <c r="AH87">
        <v>2.0330764865100375</v>
      </c>
      <c r="AI87" t="s">
        <v>571</v>
      </c>
      <c r="AJ87" t="s">
        <v>74</v>
      </c>
      <c r="AK87">
        <v>-25.919950288346104</v>
      </c>
      <c r="AL87">
        <v>28.326825956263889</v>
      </c>
      <c r="AM87">
        <v>12</v>
      </c>
      <c r="AN87">
        <v>1</v>
      </c>
      <c r="AO87">
        <v>5.3222951774834781</v>
      </c>
      <c r="AP87">
        <v>-4.8700700400840491</v>
      </c>
      <c r="AQ87">
        <v>-36.351457151304935</v>
      </c>
      <c r="AR87">
        <v>-15.488443425387274</v>
      </c>
      <c r="AS87">
        <v>1567</v>
      </c>
      <c r="AT87" t="s">
        <v>73</v>
      </c>
      <c r="AU87" t="s">
        <v>60</v>
      </c>
      <c r="AV87" t="s">
        <v>74</v>
      </c>
      <c r="AW87" t="s">
        <v>74</v>
      </c>
      <c r="AX87" t="s">
        <v>74</v>
      </c>
      <c r="AY87" t="s">
        <v>114</v>
      </c>
    </row>
    <row r="88" spans="1:51" x14ac:dyDescent="0.75">
      <c r="A88" t="s">
        <v>572</v>
      </c>
      <c r="B88" t="s">
        <v>52</v>
      </c>
      <c r="C88" t="s">
        <v>53</v>
      </c>
      <c r="D88" t="s">
        <v>573</v>
      </c>
      <c r="E88" t="s">
        <v>574</v>
      </c>
      <c r="H88" t="s">
        <v>137</v>
      </c>
      <c r="I88" t="s">
        <v>120</v>
      </c>
      <c r="P88" t="s">
        <v>423</v>
      </c>
      <c r="Q88" t="s">
        <v>63</v>
      </c>
      <c r="R88" t="s">
        <v>64</v>
      </c>
      <c r="S88" t="s">
        <v>51</v>
      </c>
      <c r="T88" t="s">
        <v>66</v>
      </c>
      <c r="U88">
        <v>0.3</v>
      </c>
      <c r="V88" t="s">
        <v>91</v>
      </c>
      <c r="W88" t="s">
        <v>79</v>
      </c>
      <c r="X88" t="s">
        <v>80</v>
      </c>
      <c r="Y88" t="s">
        <v>68</v>
      </c>
      <c r="Z88" t="s">
        <v>69</v>
      </c>
      <c r="AA88">
        <v>97.84</v>
      </c>
      <c r="AB88" t="s">
        <v>69</v>
      </c>
      <c r="AC88">
        <v>5</v>
      </c>
      <c r="AD88">
        <v>21.645138022197965</v>
      </c>
      <c r="AE88" t="s">
        <v>467</v>
      </c>
      <c r="AF88">
        <v>173.65</v>
      </c>
      <c r="AG88">
        <v>5</v>
      </c>
      <c r="AH88">
        <v>20.43766131434808</v>
      </c>
      <c r="AI88" t="s">
        <v>575</v>
      </c>
      <c r="AJ88" t="s">
        <v>72</v>
      </c>
      <c r="AK88">
        <v>3.2510093431576994</v>
      </c>
      <c r="AL88">
        <v>0.92845308746493282</v>
      </c>
      <c r="AM88">
        <v>10</v>
      </c>
      <c r="AN88">
        <v>1</v>
      </c>
      <c r="AO88">
        <v>0.96356270551787793</v>
      </c>
      <c r="AP88">
        <v>3.3739468376481079</v>
      </c>
      <c r="AQ88">
        <v>1.3624611434966849</v>
      </c>
      <c r="AR88">
        <v>5.1395575428187144</v>
      </c>
      <c r="AS88">
        <v>1596</v>
      </c>
      <c r="AT88" t="s">
        <v>95</v>
      </c>
      <c r="AU88" t="s">
        <v>60</v>
      </c>
      <c r="AV88" t="s">
        <v>74</v>
      </c>
      <c r="AW88" t="s">
        <v>74</v>
      </c>
      <c r="AX88" t="s">
        <v>96</v>
      </c>
      <c r="AY88" t="s">
        <v>96</v>
      </c>
    </row>
    <row r="89" spans="1:51" x14ac:dyDescent="0.75">
      <c r="A89" t="s">
        <v>576</v>
      </c>
      <c r="B89" t="s">
        <v>52</v>
      </c>
      <c r="C89" t="s">
        <v>53</v>
      </c>
      <c r="D89" t="s">
        <v>577</v>
      </c>
      <c r="E89" t="s">
        <v>367</v>
      </c>
      <c r="H89" t="s">
        <v>137</v>
      </c>
      <c r="P89" t="s">
        <v>368</v>
      </c>
      <c r="Q89" t="s">
        <v>578</v>
      </c>
      <c r="R89" t="s">
        <v>64</v>
      </c>
      <c r="T89" t="s">
        <v>66</v>
      </c>
      <c r="U89">
        <v>1</v>
      </c>
      <c r="V89" t="s">
        <v>91</v>
      </c>
      <c r="W89" t="s">
        <v>79</v>
      </c>
      <c r="X89" t="s">
        <v>80</v>
      </c>
      <c r="Y89" t="s">
        <v>68</v>
      </c>
      <c r="Z89" t="s">
        <v>69</v>
      </c>
      <c r="AA89">
        <v>98.59</v>
      </c>
      <c r="AB89" t="s">
        <v>57</v>
      </c>
      <c r="AC89">
        <v>6</v>
      </c>
      <c r="AD89">
        <v>15.69</v>
      </c>
      <c r="AE89" t="s">
        <v>579</v>
      </c>
      <c r="AF89">
        <v>298.08999999999997</v>
      </c>
      <c r="AG89">
        <v>6</v>
      </c>
      <c r="AH89">
        <v>42.58</v>
      </c>
      <c r="AI89" t="s">
        <v>580</v>
      </c>
      <c r="AJ89" t="s">
        <v>74</v>
      </c>
      <c r="AK89">
        <v>5.737030948363314</v>
      </c>
      <c r="AL89">
        <v>1.7047301709366027</v>
      </c>
      <c r="AM89">
        <v>12</v>
      </c>
      <c r="AN89">
        <v>1</v>
      </c>
      <c r="AO89">
        <v>1.3056531587433942</v>
      </c>
      <c r="AP89">
        <v>4.3939930830365634</v>
      </c>
      <c r="AQ89">
        <v>3.1779977809253035</v>
      </c>
      <c r="AR89">
        <v>8.2960641158013253</v>
      </c>
      <c r="AS89">
        <v>1616</v>
      </c>
      <c r="AT89" t="s">
        <v>95</v>
      </c>
      <c r="AU89" t="s">
        <v>60</v>
      </c>
      <c r="AV89" t="s">
        <v>74</v>
      </c>
      <c r="AW89" t="s">
        <v>74</v>
      </c>
      <c r="AX89" t="s">
        <v>96</v>
      </c>
      <c r="AY89" t="s">
        <v>96</v>
      </c>
    </row>
    <row r="90" spans="1:51" x14ac:dyDescent="0.75">
      <c r="A90" t="s">
        <v>581</v>
      </c>
      <c r="B90" t="s">
        <v>52</v>
      </c>
      <c r="C90" t="s">
        <v>53</v>
      </c>
      <c r="D90" t="s">
        <v>582</v>
      </c>
      <c r="E90" t="s">
        <v>583</v>
      </c>
      <c r="F90" t="s">
        <v>56</v>
      </c>
      <c r="G90" t="s">
        <v>584</v>
      </c>
      <c r="P90" t="s">
        <v>585</v>
      </c>
      <c r="Q90" t="s">
        <v>72</v>
      </c>
      <c r="R90" t="s">
        <v>64</v>
      </c>
      <c r="T90" t="s">
        <v>66</v>
      </c>
      <c r="U90">
        <v>1</v>
      </c>
      <c r="V90" t="s">
        <v>91</v>
      </c>
      <c r="W90" t="s">
        <v>79</v>
      </c>
      <c r="X90" t="s">
        <v>139</v>
      </c>
      <c r="Y90" t="s">
        <v>68</v>
      </c>
      <c r="Z90" t="s">
        <v>69</v>
      </c>
      <c r="AA90">
        <v>139.29</v>
      </c>
      <c r="AB90" t="s">
        <v>51</v>
      </c>
      <c r="AC90">
        <v>10</v>
      </c>
      <c r="AD90">
        <v>47.940129328152636</v>
      </c>
      <c r="AE90" t="s">
        <v>586</v>
      </c>
      <c r="AF90">
        <v>154.85</v>
      </c>
      <c r="AG90">
        <v>10</v>
      </c>
      <c r="AH90">
        <v>54.296307425091079</v>
      </c>
      <c r="AI90" t="s">
        <v>587</v>
      </c>
      <c r="AJ90" t="s">
        <v>72</v>
      </c>
      <c r="AK90">
        <v>0.29093861021639966</v>
      </c>
      <c r="AL90">
        <v>0.20211613187286626</v>
      </c>
      <c r="AM90">
        <v>20</v>
      </c>
      <c r="AN90">
        <v>1</v>
      </c>
      <c r="AO90">
        <v>0.44957327753422605</v>
      </c>
      <c r="AP90">
        <v>0.6471439134730389</v>
      </c>
      <c r="AQ90">
        <v>-0.59020882216231352</v>
      </c>
      <c r="AR90">
        <v>1.172086042595113</v>
      </c>
      <c r="AS90">
        <v>1685</v>
      </c>
      <c r="AT90" t="s">
        <v>95</v>
      </c>
      <c r="AU90" t="s">
        <v>60</v>
      </c>
      <c r="AV90" t="s">
        <v>74</v>
      </c>
      <c r="AW90" t="s">
        <v>74</v>
      </c>
      <c r="AX90" t="s">
        <v>74</v>
      </c>
      <c r="AY90" t="s">
        <v>74</v>
      </c>
    </row>
    <row r="91" spans="1:51" x14ac:dyDescent="0.75">
      <c r="A91" t="s">
        <v>588</v>
      </c>
      <c r="B91" t="s">
        <v>52</v>
      </c>
      <c r="C91" t="s">
        <v>53</v>
      </c>
      <c r="D91" t="s">
        <v>589</v>
      </c>
      <c r="E91" t="s">
        <v>583</v>
      </c>
      <c r="F91" t="s">
        <v>56</v>
      </c>
      <c r="G91" t="s">
        <v>584</v>
      </c>
      <c r="L91" t="s">
        <v>60</v>
      </c>
      <c r="Q91" t="s">
        <v>72</v>
      </c>
      <c r="R91" t="s">
        <v>64</v>
      </c>
      <c r="T91" t="s">
        <v>66</v>
      </c>
      <c r="U91">
        <v>1</v>
      </c>
      <c r="V91" t="s">
        <v>91</v>
      </c>
      <c r="W91" t="s">
        <v>79</v>
      </c>
      <c r="X91" t="s">
        <v>139</v>
      </c>
      <c r="Y91" t="s">
        <v>68</v>
      </c>
      <c r="Z91" t="s">
        <v>51</v>
      </c>
      <c r="AA91">
        <v>164.5</v>
      </c>
      <c r="AB91" t="s">
        <v>57</v>
      </c>
      <c r="AC91">
        <v>12</v>
      </c>
      <c r="AD91">
        <v>34.294605989863769</v>
      </c>
      <c r="AE91" t="s">
        <v>332</v>
      </c>
      <c r="AF91">
        <v>132.5</v>
      </c>
      <c r="AG91">
        <v>12</v>
      </c>
      <c r="AH91">
        <v>37.412297443487752</v>
      </c>
      <c r="AI91" t="s">
        <v>590</v>
      </c>
      <c r="AJ91" t="s">
        <v>72</v>
      </c>
      <c r="AK91">
        <v>-0.86087280756100115</v>
      </c>
      <c r="AL91">
        <v>0.18210629147495749</v>
      </c>
      <c r="AM91">
        <v>24</v>
      </c>
      <c r="AN91">
        <v>1</v>
      </c>
      <c r="AO91">
        <v>0.42673913750083609</v>
      </c>
      <c r="AP91">
        <v>-2.0173279924654546</v>
      </c>
      <c r="AQ91">
        <v>-1.6972661478563258</v>
      </c>
      <c r="AR91">
        <v>-2.4479467265676513E-2</v>
      </c>
      <c r="AS91">
        <v>1690</v>
      </c>
      <c r="AT91" t="s">
        <v>73</v>
      </c>
      <c r="AU91" t="s">
        <v>60</v>
      </c>
      <c r="AV91" t="s">
        <v>74</v>
      </c>
      <c r="AW91" t="s">
        <v>74</v>
      </c>
      <c r="AX91" t="s">
        <v>74</v>
      </c>
      <c r="AY91" t="s">
        <v>97</v>
      </c>
    </row>
    <row r="92" spans="1:51" x14ac:dyDescent="0.75">
      <c r="A92" t="s">
        <v>591</v>
      </c>
      <c r="B92" t="s">
        <v>52</v>
      </c>
      <c r="C92" t="s">
        <v>53</v>
      </c>
      <c r="D92" t="s">
        <v>592</v>
      </c>
      <c r="E92" t="s">
        <v>593</v>
      </c>
      <c r="I92" t="s">
        <v>594</v>
      </c>
      <c r="L92" t="s">
        <v>68</v>
      </c>
      <c r="Q92" t="s">
        <v>138</v>
      </c>
      <c r="R92" t="s">
        <v>103</v>
      </c>
      <c r="T92" t="s">
        <v>66</v>
      </c>
      <c r="U92">
        <v>1</v>
      </c>
      <c r="V92" t="s">
        <v>67</v>
      </c>
      <c r="W92" t="s">
        <v>79</v>
      </c>
      <c r="X92" t="s">
        <v>80</v>
      </c>
      <c r="Y92" t="s">
        <v>68</v>
      </c>
      <c r="Z92" t="s">
        <v>69</v>
      </c>
      <c r="AA92">
        <v>83.8</v>
      </c>
      <c r="AB92" t="s">
        <v>69</v>
      </c>
      <c r="AC92">
        <v>5</v>
      </c>
      <c r="AD92">
        <v>9.1455180279741395</v>
      </c>
      <c r="AE92" t="s">
        <v>595</v>
      </c>
      <c r="AF92">
        <v>126.8</v>
      </c>
      <c r="AG92">
        <v>5</v>
      </c>
      <c r="AH92">
        <v>57.310422263319609</v>
      </c>
      <c r="AI92" t="s">
        <v>596</v>
      </c>
      <c r="AJ92" t="s">
        <v>74</v>
      </c>
      <c r="AK92">
        <v>0.94587642062788857</v>
      </c>
      <c r="AL92">
        <v>0.44473411015499131</v>
      </c>
      <c r="AM92">
        <v>10</v>
      </c>
      <c r="AN92">
        <v>1</v>
      </c>
      <c r="AO92">
        <v>0.66688388056316916</v>
      </c>
      <c r="AP92">
        <v>1.4183525021314298</v>
      </c>
      <c r="AQ92">
        <v>-0.36119196714623392</v>
      </c>
      <c r="AR92">
        <v>2.2529448084020109</v>
      </c>
      <c r="AS92">
        <v>1703</v>
      </c>
      <c r="AT92" t="s">
        <v>95</v>
      </c>
      <c r="AU92" t="s">
        <v>60</v>
      </c>
      <c r="AV92" t="s">
        <v>74</v>
      </c>
      <c r="AW92" t="s">
        <v>74</v>
      </c>
      <c r="AX92" t="s">
        <v>74</v>
      </c>
      <c r="AY92" t="s">
        <v>97</v>
      </c>
    </row>
    <row r="93" spans="1:51" x14ac:dyDescent="0.75">
      <c r="A93" t="s">
        <v>597</v>
      </c>
      <c r="B93" t="s">
        <v>52</v>
      </c>
      <c r="C93" t="s">
        <v>53</v>
      </c>
      <c r="D93" t="s">
        <v>598</v>
      </c>
      <c r="E93" t="s">
        <v>267</v>
      </c>
      <c r="H93" t="s">
        <v>119</v>
      </c>
      <c r="I93" t="s">
        <v>80</v>
      </c>
      <c r="P93" t="s">
        <v>268</v>
      </c>
      <c r="Q93" t="s">
        <v>63</v>
      </c>
      <c r="R93" t="s">
        <v>64</v>
      </c>
      <c r="T93" t="s">
        <v>66</v>
      </c>
      <c r="U93">
        <v>2</v>
      </c>
      <c r="V93" t="s">
        <v>91</v>
      </c>
      <c r="W93" t="s">
        <v>79</v>
      </c>
      <c r="X93" t="s">
        <v>139</v>
      </c>
      <c r="Y93" t="s">
        <v>68</v>
      </c>
      <c r="Z93" t="s">
        <v>69</v>
      </c>
      <c r="AA93">
        <v>145.66999999999999</v>
      </c>
      <c r="AB93" t="s">
        <v>65</v>
      </c>
      <c r="AC93">
        <v>8</v>
      </c>
      <c r="AD93">
        <v>11.539982668964457</v>
      </c>
      <c r="AE93" t="s">
        <v>269</v>
      </c>
      <c r="AF93">
        <v>267.23</v>
      </c>
      <c r="AG93">
        <v>8</v>
      </c>
      <c r="AH93">
        <v>14.396694064958108</v>
      </c>
      <c r="AI93" t="s">
        <v>270</v>
      </c>
      <c r="AJ93" t="s">
        <v>72</v>
      </c>
      <c r="AK93">
        <v>8.80748617400676</v>
      </c>
      <c r="AL93">
        <v>2.6741191470412575</v>
      </c>
      <c r="AM93">
        <v>16</v>
      </c>
      <c r="AN93">
        <v>1</v>
      </c>
      <c r="AO93">
        <v>1.6352734166008012</v>
      </c>
      <c r="AP93">
        <v>5.3859410203797262</v>
      </c>
      <c r="AQ93">
        <v>5.6024091725934264</v>
      </c>
      <c r="AR93">
        <v>12.012563175420095</v>
      </c>
      <c r="AS93">
        <v>1744</v>
      </c>
      <c r="AT93" t="s">
        <v>95</v>
      </c>
      <c r="AU93" t="s">
        <v>60</v>
      </c>
      <c r="AV93" t="s">
        <v>96</v>
      </c>
      <c r="AW93" t="s">
        <v>60</v>
      </c>
      <c r="AX93" t="s">
        <v>96</v>
      </c>
      <c r="AY93" t="s">
        <v>96</v>
      </c>
    </row>
    <row r="94" spans="1:51" x14ac:dyDescent="0.75">
      <c r="A94" t="s">
        <v>599</v>
      </c>
      <c r="B94" t="s">
        <v>52</v>
      </c>
      <c r="C94" t="s">
        <v>53</v>
      </c>
      <c r="D94" t="s">
        <v>600</v>
      </c>
      <c r="E94" t="s">
        <v>601</v>
      </c>
      <c r="F94" t="s">
        <v>56</v>
      </c>
      <c r="G94" t="s">
        <v>57</v>
      </c>
      <c r="H94" t="s">
        <v>88</v>
      </c>
      <c r="L94" t="s">
        <v>60</v>
      </c>
      <c r="P94" t="s">
        <v>602</v>
      </c>
      <c r="Q94" t="s">
        <v>102</v>
      </c>
      <c r="R94" t="s">
        <v>64</v>
      </c>
      <c r="T94" t="s">
        <v>66</v>
      </c>
      <c r="U94">
        <v>1</v>
      </c>
      <c r="V94" t="s">
        <v>91</v>
      </c>
      <c r="W94" t="s">
        <v>79</v>
      </c>
      <c r="X94" t="s">
        <v>603</v>
      </c>
      <c r="Y94" t="s">
        <v>68</v>
      </c>
      <c r="Z94" t="s">
        <v>69</v>
      </c>
      <c r="AA94">
        <v>61</v>
      </c>
      <c r="AB94" t="s">
        <v>57</v>
      </c>
      <c r="AC94">
        <v>6</v>
      </c>
      <c r="AD94">
        <v>12.982295636750843</v>
      </c>
      <c r="AE94" t="s">
        <v>604</v>
      </c>
      <c r="AF94">
        <v>76</v>
      </c>
      <c r="AG94">
        <v>6</v>
      </c>
      <c r="AH94">
        <v>60.502396646744494</v>
      </c>
      <c r="AI94" t="s">
        <v>605</v>
      </c>
      <c r="AJ94" t="s">
        <v>102</v>
      </c>
      <c r="AK94">
        <v>0.31633046783753399</v>
      </c>
      <c r="AL94">
        <v>0.33750270687009637</v>
      </c>
      <c r="AM94">
        <v>12</v>
      </c>
      <c r="AN94">
        <v>1</v>
      </c>
      <c r="AO94">
        <v>0.58094983162928648</v>
      </c>
      <c r="AP94">
        <v>0.54450565369883708</v>
      </c>
      <c r="AQ94">
        <v>-0.82231027898047571</v>
      </c>
      <c r="AR94">
        <v>1.4549712146555438</v>
      </c>
      <c r="AS94">
        <v>1748</v>
      </c>
      <c r="AT94" t="s">
        <v>95</v>
      </c>
      <c r="AU94" t="s">
        <v>60</v>
      </c>
      <c r="AV94" t="s">
        <v>96</v>
      </c>
      <c r="AW94" t="s">
        <v>60</v>
      </c>
      <c r="AX94" t="s">
        <v>96</v>
      </c>
      <c r="AY94" t="s">
        <v>97</v>
      </c>
    </row>
    <row r="95" spans="1:51" x14ac:dyDescent="0.75">
      <c r="A95" t="s">
        <v>606</v>
      </c>
      <c r="B95" t="s">
        <v>52</v>
      </c>
      <c r="C95" t="s">
        <v>53</v>
      </c>
      <c r="D95" t="s">
        <v>607</v>
      </c>
      <c r="E95" t="s">
        <v>157</v>
      </c>
      <c r="F95" t="s">
        <v>56</v>
      </c>
      <c r="H95" t="s">
        <v>101</v>
      </c>
      <c r="I95" t="s">
        <v>80</v>
      </c>
      <c r="L95" t="s">
        <v>60</v>
      </c>
      <c r="P95" t="s">
        <v>158</v>
      </c>
      <c r="Q95" t="s">
        <v>63</v>
      </c>
      <c r="R95" t="s">
        <v>111</v>
      </c>
      <c r="T95" t="s">
        <v>66</v>
      </c>
      <c r="U95">
        <v>2</v>
      </c>
      <c r="V95" t="s">
        <v>91</v>
      </c>
      <c r="Y95" t="s">
        <v>68</v>
      </c>
      <c r="Z95" t="s">
        <v>69</v>
      </c>
      <c r="AA95">
        <v>66</v>
      </c>
      <c r="AB95" t="s">
        <v>139</v>
      </c>
      <c r="AC95">
        <v>30</v>
      </c>
      <c r="AD95">
        <v>12.488074311117787</v>
      </c>
      <c r="AE95" t="s">
        <v>113</v>
      </c>
      <c r="AF95">
        <v>24.3</v>
      </c>
      <c r="AG95">
        <v>7</v>
      </c>
      <c r="AH95">
        <v>20.107709964090887</v>
      </c>
      <c r="AI95" t="s">
        <v>608</v>
      </c>
      <c r="AJ95" t="s">
        <v>72</v>
      </c>
      <c r="AK95">
        <v>-2.895584383295172</v>
      </c>
      <c r="AL95">
        <v>0.28949329944429891</v>
      </c>
      <c r="AM95">
        <v>37</v>
      </c>
      <c r="AN95">
        <v>1</v>
      </c>
      <c r="AO95">
        <v>0.53804581537662655</v>
      </c>
      <c r="AP95">
        <v>-5.3816688106166062</v>
      </c>
      <c r="AQ95">
        <v>-3.950134803465847</v>
      </c>
      <c r="AR95">
        <v>-1.841033963124497</v>
      </c>
      <c r="AS95">
        <v>1757</v>
      </c>
      <c r="AT95" t="s">
        <v>73</v>
      </c>
      <c r="AU95" t="s">
        <v>60</v>
      </c>
      <c r="AV95" t="s">
        <v>74</v>
      </c>
      <c r="AW95" t="s">
        <v>74</v>
      </c>
      <c r="AX95" t="s">
        <v>84</v>
      </c>
      <c r="AY95" t="s">
        <v>114</v>
      </c>
    </row>
    <row r="96" spans="1:51" x14ac:dyDescent="0.75">
      <c r="A96" t="s">
        <v>609</v>
      </c>
      <c r="B96" t="s">
        <v>52</v>
      </c>
      <c r="C96" t="s">
        <v>53</v>
      </c>
      <c r="D96" t="s">
        <v>610</v>
      </c>
      <c r="E96" t="s">
        <v>218</v>
      </c>
      <c r="H96" t="s">
        <v>137</v>
      </c>
      <c r="P96" t="s">
        <v>158</v>
      </c>
      <c r="Q96" t="s">
        <v>63</v>
      </c>
      <c r="R96" t="s">
        <v>64</v>
      </c>
      <c r="T96" t="s">
        <v>66</v>
      </c>
      <c r="U96">
        <v>0.75</v>
      </c>
      <c r="V96" t="s">
        <v>91</v>
      </c>
      <c r="Y96" t="s">
        <v>68</v>
      </c>
      <c r="Z96" t="s">
        <v>69</v>
      </c>
      <c r="AA96">
        <v>101.73</v>
      </c>
      <c r="AB96" t="s">
        <v>78</v>
      </c>
      <c r="AC96">
        <v>7</v>
      </c>
      <c r="AD96">
        <v>6.9054109218785813</v>
      </c>
      <c r="AE96" t="s">
        <v>611</v>
      </c>
      <c r="AF96">
        <v>33.909999999999997</v>
      </c>
      <c r="AG96">
        <v>7</v>
      </c>
      <c r="AH96">
        <v>131.04406243702917</v>
      </c>
      <c r="AI96" t="s">
        <v>612</v>
      </c>
      <c r="AJ96" t="s">
        <v>72</v>
      </c>
      <c r="AK96">
        <v>-0.68407253015962455</v>
      </c>
      <c r="AL96">
        <v>0.30242697237567823</v>
      </c>
      <c r="AM96">
        <v>14</v>
      </c>
      <c r="AN96">
        <v>1</v>
      </c>
      <c r="AO96">
        <v>0.5499336072433455</v>
      </c>
      <c r="AP96">
        <v>-1.2439183951471484</v>
      </c>
      <c r="AQ96">
        <v>-1.7619225942447772</v>
      </c>
      <c r="AR96">
        <v>0.39377753392552794</v>
      </c>
      <c r="AS96">
        <v>1762</v>
      </c>
      <c r="AT96" t="s">
        <v>73</v>
      </c>
      <c r="AU96" t="s">
        <v>60</v>
      </c>
      <c r="AV96" t="s">
        <v>74</v>
      </c>
      <c r="AW96" t="s">
        <v>74</v>
      </c>
      <c r="AX96" t="s">
        <v>84</v>
      </c>
      <c r="AY96" t="s">
        <v>97</v>
      </c>
    </row>
    <row r="97" spans="1:51" x14ac:dyDescent="0.75">
      <c r="A97" t="s">
        <v>613</v>
      </c>
      <c r="B97" t="s">
        <v>52</v>
      </c>
      <c r="C97" t="s">
        <v>53</v>
      </c>
      <c r="D97" t="s">
        <v>614</v>
      </c>
      <c r="E97" t="s">
        <v>615</v>
      </c>
      <c r="F97" t="s">
        <v>56</v>
      </c>
      <c r="G97" t="s">
        <v>69</v>
      </c>
      <c r="H97" t="s">
        <v>137</v>
      </c>
      <c r="K97" t="s">
        <v>78</v>
      </c>
      <c r="Q97" t="s">
        <v>63</v>
      </c>
      <c r="R97" t="s">
        <v>64</v>
      </c>
      <c r="S97" t="s">
        <v>57</v>
      </c>
      <c r="T97" t="s">
        <v>66</v>
      </c>
      <c r="U97">
        <v>2</v>
      </c>
      <c r="V97" t="s">
        <v>91</v>
      </c>
      <c r="Y97" t="s">
        <v>68</v>
      </c>
      <c r="Z97" t="s">
        <v>69</v>
      </c>
      <c r="AA97">
        <v>68.430000000000007</v>
      </c>
      <c r="AB97" t="s">
        <v>78</v>
      </c>
      <c r="AC97">
        <v>7</v>
      </c>
      <c r="AD97">
        <v>11.165070532692573</v>
      </c>
      <c r="AE97" t="s">
        <v>71</v>
      </c>
      <c r="AF97">
        <v>37.96</v>
      </c>
      <c r="AG97">
        <v>7</v>
      </c>
      <c r="AH97">
        <v>11.165070532692573</v>
      </c>
      <c r="AI97" t="s">
        <v>71</v>
      </c>
      <c r="AJ97" t="s">
        <v>72</v>
      </c>
      <c r="AK97">
        <v>-2.5542290360330435</v>
      </c>
      <c r="AL97">
        <v>0.51871735601836755</v>
      </c>
      <c r="AM97">
        <v>14</v>
      </c>
      <c r="AN97">
        <v>1</v>
      </c>
      <c r="AO97">
        <v>0.72022035240498972</v>
      </c>
      <c r="AP97">
        <v>-3.5464549529930052</v>
      </c>
      <c r="AQ97">
        <v>-3.9658349876795689</v>
      </c>
      <c r="AR97">
        <v>-1.1426230843865182</v>
      </c>
      <c r="AS97">
        <v>1772</v>
      </c>
      <c r="AT97" t="s">
        <v>73</v>
      </c>
      <c r="AU97" t="s">
        <v>60</v>
      </c>
      <c r="AV97" t="s">
        <v>74</v>
      </c>
      <c r="AW97" t="s">
        <v>74</v>
      </c>
      <c r="AX97" t="s">
        <v>84</v>
      </c>
      <c r="AY97" t="s">
        <v>97</v>
      </c>
    </row>
    <row r="98" spans="1:51" x14ac:dyDescent="0.75">
      <c r="A98" t="s">
        <v>616</v>
      </c>
      <c r="B98" t="s">
        <v>52</v>
      </c>
      <c r="C98" t="s">
        <v>53</v>
      </c>
      <c r="D98" t="s">
        <v>617</v>
      </c>
      <c r="E98" t="s">
        <v>182</v>
      </c>
      <c r="F98" t="s">
        <v>56</v>
      </c>
      <c r="K98" t="s">
        <v>88</v>
      </c>
      <c r="P98" t="s">
        <v>158</v>
      </c>
      <c r="Q98" t="s">
        <v>183</v>
      </c>
      <c r="T98" t="s">
        <v>66</v>
      </c>
      <c r="U98">
        <v>1</v>
      </c>
      <c r="V98" t="s">
        <v>91</v>
      </c>
      <c r="W98" t="s">
        <v>79</v>
      </c>
      <c r="X98" t="s">
        <v>80</v>
      </c>
      <c r="Y98" t="s">
        <v>68</v>
      </c>
      <c r="Z98" t="s">
        <v>69</v>
      </c>
      <c r="AA98">
        <v>140.44</v>
      </c>
      <c r="AB98" t="s">
        <v>65</v>
      </c>
      <c r="AC98">
        <v>8</v>
      </c>
      <c r="AD98">
        <v>36.229999999999997</v>
      </c>
      <c r="AE98" t="s">
        <v>618</v>
      </c>
      <c r="AF98">
        <v>133.49</v>
      </c>
      <c r="AG98">
        <v>8</v>
      </c>
      <c r="AH98">
        <v>31.27</v>
      </c>
      <c r="AI98" t="s">
        <v>619</v>
      </c>
      <c r="AJ98" t="s">
        <v>74</v>
      </c>
      <c r="AK98">
        <v>-0.19413583557001049</v>
      </c>
      <c r="AL98">
        <v>0.25117777258288959</v>
      </c>
      <c r="AM98">
        <v>16</v>
      </c>
      <c r="AN98">
        <v>1</v>
      </c>
      <c r="AO98">
        <v>0.50117638869253367</v>
      </c>
      <c r="AP98">
        <v>-0.3873602985896264</v>
      </c>
      <c r="AQ98">
        <v>-1.1764235073092235</v>
      </c>
      <c r="AR98">
        <v>0.78815183616920259</v>
      </c>
      <c r="AS98">
        <v>1785</v>
      </c>
      <c r="AT98" t="s">
        <v>73</v>
      </c>
      <c r="AU98" t="s">
        <v>60</v>
      </c>
      <c r="AV98" t="s">
        <v>74</v>
      </c>
      <c r="AW98" t="s">
        <v>74</v>
      </c>
      <c r="AX98" t="s">
        <v>74</v>
      </c>
      <c r="AY98" t="s">
        <v>97</v>
      </c>
    </row>
    <row r="99" spans="1:51" x14ac:dyDescent="0.75">
      <c r="A99" t="s">
        <v>620</v>
      </c>
      <c r="B99" t="s">
        <v>52</v>
      </c>
      <c r="C99" t="s">
        <v>53</v>
      </c>
      <c r="D99" t="s">
        <v>621</v>
      </c>
      <c r="E99" t="s">
        <v>157</v>
      </c>
      <c r="H99" t="s">
        <v>101</v>
      </c>
      <c r="I99" t="s">
        <v>80</v>
      </c>
      <c r="P99" t="s">
        <v>158</v>
      </c>
      <c r="Q99" t="s">
        <v>63</v>
      </c>
      <c r="R99" t="s">
        <v>111</v>
      </c>
      <c r="T99" t="s">
        <v>66</v>
      </c>
      <c r="U99">
        <v>2</v>
      </c>
      <c r="V99" t="s">
        <v>91</v>
      </c>
      <c r="W99" t="s">
        <v>79</v>
      </c>
      <c r="X99" t="s">
        <v>139</v>
      </c>
      <c r="Y99" t="s">
        <v>68</v>
      </c>
      <c r="Z99" t="s">
        <v>69</v>
      </c>
      <c r="AA99">
        <v>66</v>
      </c>
      <c r="AB99" t="s">
        <v>139</v>
      </c>
      <c r="AC99">
        <v>30</v>
      </c>
      <c r="AD99">
        <v>12.488074311117787</v>
      </c>
      <c r="AE99" t="s">
        <v>113</v>
      </c>
      <c r="AF99">
        <v>24.3</v>
      </c>
      <c r="AG99">
        <v>7</v>
      </c>
      <c r="AH99">
        <v>20.134167477201537</v>
      </c>
      <c r="AI99" t="s">
        <v>434</v>
      </c>
      <c r="AJ99" t="s">
        <v>72</v>
      </c>
      <c r="AK99">
        <v>-2.8942542578734587</v>
      </c>
      <c r="AL99">
        <v>0.28938922901775516</v>
      </c>
      <c r="AM99">
        <v>37</v>
      </c>
      <c r="AN99">
        <v>1</v>
      </c>
      <c r="AO99">
        <v>0.53794909519187328</v>
      </c>
      <c r="AP99">
        <v>-5.3801638179931297</v>
      </c>
      <c r="AQ99">
        <v>-3.9486151099654396</v>
      </c>
      <c r="AR99">
        <v>-1.839893405781478</v>
      </c>
      <c r="AS99">
        <v>1794</v>
      </c>
      <c r="AT99" t="s">
        <v>73</v>
      </c>
      <c r="AU99" t="s">
        <v>60</v>
      </c>
      <c r="AV99" t="s">
        <v>74</v>
      </c>
      <c r="AW99" t="s">
        <v>74</v>
      </c>
      <c r="AX99" t="s">
        <v>74</v>
      </c>
      <c r="AY99" t="s">
        <v>114</v>
      </c>
    </row>
    <row r="100" spans="1:51" x14ac:dyDescent="0.75">
      <c r="A100" t="s">
        <v>622</v>
      </c>
      <c r="B100" t="s">
        <v>52</v>
      </c>
      <c r="C100" t="s">
        <v>53</v>
      </c>
      <c r="D100" t="s">
        <v>623</v>
      </c>
      <c r="E100" t="s">
        <v>624</v>
      </c>
      <c r="H100" t="s">
        <v>137</v>
      </c>
      <c r="L100" t="s">
        <v>60</v>
      </c>
      <c r="M100" t="s">
        <v>145</v>
      </c>
      <c r="P100" t="s">
        <v>158</v>
      </c>
      <c r="Q100" t="s">
        <v>63</v>
      </c>
      <c r="R100" t="s">
        <v>64</v>
      </c>
      <c r="T100" t="s">
        <v>66</v>
      </c>
      <c r="U100">
        <v>1</v>
      </c>
      <c r="V100" t="s">
        <v>91</v>
      </c>
      <c r="W100" t="s">
        <v>79</v>
      </c>
      <c r="X100" t="s">
        <v>139</v>
      </c>
      <c r="Y100" t="s">
        <v>68</v>
      </c>
      <c r="Z100" t="s">
        <v>69</v>
      </c>
      <c r="AA100">
        <v>99.06</v>
      </c>
      <c r="AB100" t="s">
        <v>51</v>
      </c>
      <c r="AC100">
        <v>10</v>
      </c>
      <c r="AD100">
        <v>8.8860002250731469</v>
      </c>
      <c r="AE100" t="s">
        <v>625</v>
      </c>
      <c r="AF100">
        <v>36.24</v>
      </c>
      <c r="AG100">
        <v>10</v>
      </c>
      <c r="AH100">
        <v>10.182534065742182</v>
      </c>
      <c r="AI100" t="s">
        <v>626</v>
      </c>
      <c r="AJ100" t="s">
        <v>72</v>
      </c>
      <c r="AK100">
        <v>-6.2952680758734703</v>
      </c>
      <c r="AL100">
        <v>1.1907600036777917</v>
      </c>
      <c r="AM100">
        <v>20</v>
      </c>
      <c r="AN100">
        <v>1</v>
      </c>
      <c r="AO100">
        <v>1.0912195029771927</v>
      </c>
      <c r="AP100">
        <v>-5.769020860329185</v>
      </c>
      <c r="AQ100">
        <v>-8.4340190009364662</v>
      </c>
      <c r="AR100">
        <v>-4.1565171508104743</v>
      </c>
      <c r="AS100">
        <v>1825</v>
      </c>
      <c r="AT100" t="s">
        <v>73</v>
      </c>
      <c r="AU100" t="s">
        <v>60</v>
      </c>
      <c r="AV100" t="s">
        <v>84</v>
      </c>
      <c r="AW100" t="s">
        <v>74</v>
      </c>
      <c r="AX100" t="s">
        <v>74</v>
      </c>
      <c r="AY100" t="s">
        <v>97</v>
      </c>
    </row>
    <row r="101" spans="1:51" x14ac:dyDescent="0.75">
      <c r="A101" t="s">
        <v>627</v>
      </c>
      <c r="B101" t="s">
        <v>52</v>
      </c>
      <c r="C101" t="s">
        <v>53</v>
      </c>
      <c r="D101" t="s">
        <v>628</v>
      </c>
      <c r="P101" t="s">
        <v>351</v>
      </c>
      <c r="Q101" t="s">
        <v>629</v>
      </c>
      <c r="R101" t="s">
        <v>103</v>
      </c>
      <c r="T101" t="s">
        <v>66</v>
      </c>
      <c r="U101">
        <v>1</v>
      </c>
      <c r="Y101" t="s">
        <v>68</v>
      </c>
      <c r="Z101" t="s">
        <v>81</v>
      </c>
      <c r="AA101">
        <v>55.95</v>
      </c>
      <c r="AB101" t="s">
        <v>69</v>
      </c>
      <c r="AC101">
        <v>5</v>
      </c>
      <c r="AD101">
        <v>44.45303139269582</v>
      </c>
      <c r="AE101" t="s">
        <v>630</v>
      </c>
      <c r="AF101">
        <v>41.96</v>
      </c>
      <c r="AG101">
        <v>5</v>
      </c>
      <c r="AH101">
        <v>46.107721696045665</v>
      </c>
      <c r="AI101" t="s">
        <v>631</v>
      </c>
      <c r="AJ101" t="s">
        <v>74</v>
      </c>
      <c r="AK101">
        <v>-0.27885616361791282</v>
      </c>
      <c r="AL101">
        <v>0.40388803799938505</v>
      </c>
      <c r="AM101">
        <v>10</v>
      </c>
      <c r="AN101">
        <v>1</v>
      </c>
      <c r="AO101">
        <v>0.63552186272337241</v>
      </c>
      <c r="AP101">
        <v>-0.43878295928788891</v>
      </c>
      <c r="AQ101">
        <v>-1.524456125943531</v>
      </c>
      <c r="AR101">
        <v>0.96674379870770544</v>
      </c>
      <c r="AS101">
        <v>1839</v>
      </c>
      <c r="AT101" t="s">
        <v>73</v>
      </c>
      <c r="AU101" t="s">
        <v>60</v>
      </c>
      <c r="AV101" t="s">
        <v>74</v>
      </c>
      <c r="AW101" t="s">
        <v>74</v>
      </c>
      <c r="AX101" t="s">
        <v>84</v>
      </c>
      <c r="AY101" t="s">
        <v>97</v>
      </c>
    </row>
    <row r="102" spans="1:51" x14ac:dyDescent="0.75">
      <c r="A102" t="s">
        <v>632</v>
      </c>
      <c r="B102" t="s">
        <v>52</v>
      </c>
      <c r="C102" t="s">
        <v>53</v>
      </c>
      <c r="D102" t="s">
        <v>633</v>
      </c>
      <c r="E102" t="s">
        <v>634</v>
      </c>
      <c r="H102" t="s">
        <v>119</v>
      </c>
      <c r="I102" t="s">
        <v>80</v>
      </c>
      <c r="P102" t="s">
        <v>635</v>
      </c>
      <c r="Q102" t="s">
        <v>63</v>
      </c>
      <c r="T102" t="s">
        <v>66</v>
      </c>
      <c r="U102">
        <v>1</v>
      </c>
      <c r="V102" t="s">
        <v>91</v>
      </c>
      <c r="W102" t="s">
        <v>79</v>
      </c>
      <c r="X102" t="s">
        <v>80</v>
      </c>
      <c r="Y102" t="s">
        <v>68</v>
      </c>
      <c r="Z102" t="s">
        <v>81</v>
      </c>
      <c r="AA102">
        <v>135</v>
      </c>
      <c r="AB102" t="s">
        <v>69</v>
      </c>
      <c r="AC102">
        <v>5</v>
      </c>
      <c r="AD102">
        <v>7.8262379212492643</v>
      </c>
      <c r="AE102" t="s">
        <v>200</v>
      </c>
      <c r="AF102">
        <v>105.33</v>
      </c>
      <c r="AG102">
        <v>5</v>
      </c>
      <c r="AH102">
        <v>4.6510213931995628</v>
      </c>
      <c r="AI102" t="s">
        <v>636</v>
      </c>
      <c r="AJ102" t="s">
        <v>72</v>
      </c>
      <c r="AK102">
        <v>-4.160518708971459</v>
      </c>
      <c r="AL102">
        <v>1.2654957963850768</v>
      </c>
      <c r="AM102">
        <v>10</v>
      </c>
      <c r="AN102">
        <v>1</v>
      </c>
      <c r="AO102">
        <v>1.1249425747055166</v>
      </c>
      <c r="AP102">
        <v>-3.6984276375712639</v>
      </c>
      <c r="AQ102">
        <v>-6.3653656400700305</v>
      </c>
      <c r="AR102">
        <v>-1.9556717778728876</v>
      </c>
      <c r="AS102">
        <v>1848</v>
      </c>
      <c r="AT102" t="s">
        <v>73</v>
      </c>
      <c r="AU102" t="s">
        <v>60</v>
      </c>
      <c r="AV102" t="s">
        <v>74</v>
      </c>
      <c r="AW102" t="s">
        <v>74</v>
      </c>
      <c r="AX102" t="s">
        <v>84</v>
      </c>
      <c r="AY102" t="s">
        <v>97</v>
      </c>
    </row>
    <row r="103" spans="1:51" x14ac:dyDescent="0.75">
      <c r="A103" t="s">
        <v>637</v>
      </c>
      <c r="B103" t="s">
        <v>52</v>
      </c>
      <c r="C103" t="s">
        <v>53</v>
      </c>
      <c r="D103" t="s">
        <v>638</v>
      </c>
      <c r="E103" t="s">
        <v>218</v>
      </c>
      <c r="H103" t="s">
        <v>137</v>
      </c>
      <c r="L103" t="s">
        <v>60</v>
      </c>
      <c r="Q103" t="s">
        <v>63</v>
      </c>
      <c r="R103" t="s">
        <v>64</v>
      </c>
      <c r="T103" t="s">
        <v>66</v>
      </c>
      <c r="U103">
        <v>2</v>
      </c>
      <c r="V103" t="s">
        <v>91</v>
      </c>
      <c r="W103" t="s">
        <v>79</v>
      </c>
      <c r="X103" t="s">
        <v>139</v>
      </c>
      <c r="Y103" t="s">
        <v>68</v>
      </c>
      <c r="Z103" t="s">
        <v>69</v>
      </c>
      <c r="AA103">
        <v>45.33</v>
      </c>
      <c r="AB103" t="s">
        <v>65</v>
      </c>
      <c r="AC103">
        <v>8</v>
      </c>
      <c r="AD103">
        <v>4.0163665171395904</v>
      </c>
      <c r="AE103" t="s">
        <v>639</v>
      </c>
      <c r="AF103">
        <v>28.1</v>
      </c>
      <c r="AG103">
        <v>8</v>
      </c>
      <c r="AH103">
        <v>3.5921024484276618</v>
      </c>
      <c r="AI103" t="s">
        <v>640</v>
      </c>
      <c r="AJ103" t="s">
        <v>72</v>
      </c>
      <c r="AK103">
        <v>-4.2747219164843324</v>
      </c>
      <c r="AL103">
        <v>0.8210389832272339</v>
      </c>
      <c r="AM103">
        <v>16</v>
      </c>
      <c r="AN103">
        <v>1</v>
      </c>
      <c r="AO103">
        <v>0.90611201472402625</v>
      </c>
      <c r="AP103">
        <v>-4.7176528365384058</v>
      </c>
      <c r="AQ103">
        <v>-6.0506688313024508</v>
      </c>
      <c r="AR103">
        <v>-2.498775001666214</v>
      </c>
      <c r="AS103">
        <v>1873</v>
      </c>
      <c r="AT103" t="s">
        <v>73</v>
      </c>
      <c r="AU103" t="s">
        <v>60</v>
      </c>
      <c r="AV103" t="s">
        <v>74</v>
      </c>
      <c r="AW103" t="s">
        <v>74</v>
      </c>
      <c r="AX103" t="s">
        <v>84</v>
      </c>
      <c r="AY103" t="s">
        <v>97</v>
      </c>
    </row>
    <row r="104" spans="1:51" x14ac:dyDescent="0.75">
      <c r="A104" t="s">
        <v>641</v>
      </c>
      <c r="B104" t="s">
        <v>52</v>
      </c>
      <c r="C104" t="s">
        <v>53</v>
      </c>
      <c r="D104" t="s">
        <v>642</v>
      </c>
      <c r="E104" t="s">
        <v>643</v>
      </c>
      <c r="P104" t="s">
        <v>644</v>
      </c>
      <c r="Q104" t="s">
        <v>63</v>
      </c>
      <c r="R104" t="s">
        <v>64</v>
      </c>
      <c r="T104" t="s">
        <v>66</v>
      </c>
      <c r="U104">
        <v>1</v>
      </c>
      <c r="V104" t="s">
        <v>91</v>
      </c>
      <c r="W104" t="s">
        <v>79</v>
      </c>
      <c r="X104" t="s">
        <v>80</v>
      </c>
      <c r="Y104" t="s">
        <v>68</v>
      </c>
      <c r="Z104" t="s">
        <v>51</v>
      </c>
      <c r="AA104">
        <v>76.47</v>
      </c>
      <c r="AB104" t="s">
        <v>57</v>
      </c>
      <c r="AC104">
        <v>6</v>
      </c>
      <c r="AD104">
        <v>8.0833161511844871</v>
      </c>
      <c r="AE104" t="s">
        <v>384</v>
      </c>
      <c r="AF104">
        <v>102.94</v>
      </c>
      <c r="AG104">
        <v>6</v>
      </c>
      <c r="AH104">
        <v>13.49668848273531</v>
      </c>
      <c r="AI104" t="s">
        <v>645</v>
      </c>
      <c r="AJ104" t="s">
        <v>72</v>
      </c>
      <c r="AK104">
        <v>2.1956484112955446</v>
      </c>
      <c r="AL104">
        <v>0.53420299775102698</v>
      </c>
      <c r="AM104">
        <v>12</v>
      </c>
      <c r="AN104">
        <v>1</v>
      </c>
      <c r="AO104">
        <v>0.73089191933624975</v>
      </c>
      <c r="AP104">
        <v>3.0040671585061371</v>
      </c>
      <c r="AQ104">
        <v>0.76312657280514085</v>
      </c>
      <c r="AR104">
        <v>3.6281702497859483</v>
      </c>
      <c r="AS104">
        <v>1887</v>
      </c>
      <c r="AT104" t="s">
        <v>95</v>
      </c>
      <c r="AU104" t="s">
        <v>60</v>
      </c>
      <c r="AV104" t="s">
        <v>74</v>
      </c>
      <c r="AW104" t="s">
        <v>74</v>
      </c>
      <c r="AX104" t="s">
        <v>74</v>
      </c>
      <c r="AY104" t="s">
        <v>84</v>
      </c>
    </row>
    <row r="105" spans="1:51" x14ac:dyDescent="0.75">
      <c r="A105" t="s">
        <v>646</v>
      </c>
      <c r="B105" t="s">
        <v>52</v>
      </c>
      <c r="C105" t="s">
        <v>53</v>
      </c>
      <c r="D105" t="s">
        <v>647</v>
      </c>
      <c r="E105" t="s">
        <v>648</v>
      </c>
      <c r="H105" t="s">
        <v>137</v>
      </c>
      <c r="I105" t="s">
        <v>189</v>
      </c>
      <c r="L105" t="s">
        <v>60</v>
      </c>
      <c r="P105" t="s">
        <v>207</v>
      </c>
      <c r="Q105" t="s">
        <v>63</v>
      </c>
      <c r="R105" t="s">
        <v>64</v>
      </c>
      <c r="T105" t="s">
        <v>66</v>
      </c>
      <c r="U105">
        <v>1</v>
      </c>
      <c r="V105" t="s">
        <v>67</v>
      </c>
      <c r="W105" t="s">
        <v>79</v>
      </c>
      <c r="X105" t="s">
        <v>80</v>
      </c>
      <c r="Y105" t="s">
        <v>68</v>
      </c>
      <c r="Z105" t="s">
        <v>69</v>
      </c>
      <c r="AA105">
        <v>118.2</v>
      </c>
      <c r="AB105" t="s">
        <v>57</v>
      </c>
      <c r="AC105">
        <v>6</v>
      </c>
      <c r="AD105">
        <v>16.093147610085481</v>
      </c>
      <c r="AE105" t="s">
        <v>649</v>
      </c>
      <c r="AF105">
        <v>187.5</v>
      </c>
      <c r="AG105">
        <v>6</v>
      </c>
      <c r="AH105">
        <v>51.978172341859029</v>
      </c>
      <c r="AI105" t="s">
        <v>650</v>
      </c>
      <c r="AJ105" t="s">
        <v>72</v>
      </c>
      <c r="AK105">
        <v>1.6620020884960109</v>
      </c>
      <c r="AL105">
        <v>0.44842712259021256</v>
      </c>
      <c r="AM105">
        <v>12</v>
      </c>
      <c r="AN105">
        <v>1</v>
      </c>
      <c r="AO105">
        <v>0.66964701342588884</v>
      </c>
      <c r="AP105">
        <v>2.4819077143244037</v>
      </c>
      <c r="AQ105">
        <v>0.34951805982645889</v>
      </c>
      <c r="AR105">
        <v>2.9744861171655632</v>
      </c>
      <c r="AS105">
        <v>1904</v>
      </c>
      <c r="AT105" t="s">
        <v>95</v>
      </c>
      <c r="AU105" t="s">
        <v>60</v>
      </c>
      <c r="AV105" t="s">
        <v>74</v>
      </c>
      <c r="AW105" t="s">
        <v>74</v>
      </c>
      <c r="AX105" t="s">
        <v>96</v>
      </c>
      <c r="AY105" t="s">
        <v>96</v>
      </c>
    </row>
    <row r="106" spans="1:51" x14ac:dyDescent="0.75">
      <c r="A106" t="s">
        <v>651</v>
      </c>
      <c r="B106" t="s">
        <v>52</v>
      </c>
      <c r="C106" t="s">
        <v>53</v>
      </c>
      <c r="D106" t="s">
        <v>652</v>
      </c>
      <c r="E106" t="s">
        <v>653</v>
      </c>
      <c r="T106" t="s">
        <v>66</v>
      </c>
      <c r="U106">
        <v>1</v>
      </c>
      <c r="V106" t="s">
        <v>67</v>
      </c>
      <c r="W106" t="s">
        <v>79</v>
      </c>
      <c r="X106" t="s">
        <v>80</v>
      </c>
      <c r="Y106" t="s">
        <v>68</v>
      </c>
      <c r="Z106" t="s">
        <v>69</v>
      </c>
      <c r="AA106">
        <v>66.400000000000006</v>
      </c>
      <c r="AB106" t="s">
        <v>69</v>
      </c>
      <c r="AC106">
        <v>5</v>
      </c>
      <c r="AD106">
        <v>19.677398201998152</v>
      </c>
      <c r="AE106" t="s">
        <v>654</v>
      </c>
      <c r="AF106">
        <v>33.6</v>
      </c>
      <c r="AG106">
        <v>5</v>
      </c>
      <c r="AH106">
        <v>20.43766131434808</v>
      </c>
      <c r="AI106" t="s">
        <v>575</v>
      </c>
      <c r="AJ106" t="s">
        <v>74</v>
      </c>
      <c r="AK106">
        <v>-1.4759221949393675</v>
      </c>
      <c r="AL106">
        <v>0.508917316275732</v>
      </c>
      <c r="AM106">
        <v>10</v>
      </c>
      <c r="AN106">
        <v>1</v>
      </c>
      <c r="AO106">
        <v>0.71338440989114138</v>
      </c>
      <c r="AP106">
        <v>-2.0689016671454667</v>
      </c>
      <c r="AQ106">
        <v>-2.874129945458364</v>
      </c>
      <c r="AR106">
        <v>-7.7714444420371009E-2</v>
      </c>
      <c r="AS106">
        <v>1918</v>
      </c>
      <c r="AT106" t="s">
        <v>73</v>
      </c>
      <c r="AU106" t="s">
        <v>60</v>
      </c>
      <c r="AV106" t="s">
        <v>74</v>
      </c>
      <c r="AW106" t="s">
        <v>74</v>
      </c>
      <c r="AX106" t="s">
        <v>74</v>
      </c>
      <c r="AY106" t="s">
        <v>97</v>
      </c>
    </row>
    <row r="107" spans="1:51" x14ac:dyDescent="0.75">
      <c r="A107" t="s">
        <v>655</v>
      </c>
      <c r="B107" t="s">
        <v>52</v>
      </c>
      <c r="C107" t="s">
        <v>53</v>
      </c>
      <c r="D107" t="s">
        <v>656</v>
      </c>
      <c r="E107" t="s">
        <v>657</v>
      </c>
      <c r="P107" t="s">
        <v>658</v>
      </c>
      <c r="Q107" t="s">
        <v>293</v>
      </c>
      <c r="R107" t="s">
        <v>64</v>
      </c>
      <c r="T107" t="s">
        <v>66</v>
      </c>
      <c r="U107">
        <v>1</v>
      </c>
      <c r="V107" t="s">
        <v>67</v>
      </c>
      <c r="W107" t="s">
        <v>79</v>
      </c>
      <c r="X107" t="s">
        <v>80</v>
      </c>
      <c r="Y107" t="s">
        <v>68</v>
      </c>
      <c r="Z107" t="s">
        <v>69</v>
      </c>
      <c r="AA107">
        <v>201.85</v>
      </c>
      <c r="AB107" t="s">
        <v>659</v>
      </c>
      <c r="AC107">
        <v>16</v>
      </c>
      <c r="AD107">
        <v>41.72</v>
      </c>
      <c r="AE107" t="s">
        <v>660</v>
      </c>
      <c r="AF107">
        <v>225.52</v>
      </c>
      <c r="AG107">
        <v>16</v>
      </c>
      <c r="AH107">
        <v>62.6</v>
      </c>
      <c r="AI107" t="s">
        <v>661</v>
      </c>
      <c r="AJ107" t="s">
        <v>293</v>
      </c>
      <c r="AK107">
        <v>0.43373691485631682</v>
      </c>
      <c r="AL107">
        <v>0.1279394954892043</v>
      </c>
      <c r="AM107">
        <v>32</v>
      </c>
      <c r="AN107">
        <v>1</v>
      </c>
      <c r="AO107">
        <v>0.35768630878075874</v>
      </c>
      <c r="AP107">
        <v>1.2126181634818256</v>
      </c>
      <c r="AQ107">
        <v>-0.26731536811704315</v>
      </c>
      <c r="AR107">
        <v>1.1347891978296767</v>
      </c>
      <c r="AS107">
        <v>1953</v>
      </c>
      <c r="AT107" t="s">
        <v>95</v>
      </c>
      <c r="AU107" t="s">
        <v>60</v>
      </c>
      <c r="AV107" t="s">
        <v>96</v>
      </c>
      <c r="AW107" t="s">
        <v>74</v>
      </c>
      <c r="AX107" t="s">
        <v>74</v>
      </c>
      <c r="AY107" t="s">
        <v>97</v>
      </c>
    </row>
    <row r="108" spans="1:51" x14ac:dyDescent="0.75">
      <c r="A108" t="s">
        <v>662</v>
      </c>
      <c r="B108" t="s">
        <v>52</v>
      </c>
      <c r="C108" t="s">
        <v>53</v>
      </c>
      <c r="D108" t="s">
        <v>663</v>
      </c>
      <c r="H108" t="s">
        <v>128</v>
      </c>
      <c r="I108" t="s">
        <v>232</v>
      </c>
      <c r="L108" t="s">
        <v>60</v>
      </c>
      <c r="P108" t="s">
        <v>358</v>
      </c>
      <c r="Q108" t="s">
        <v>307</v>
      </c>
      <c r="R108" t="s">
        <v>64</v>
      </c>
      <c r="T108" t="s">
        <v>66</v>
      </c>
      <c r="U108">
        <v>0.5</v>
      </c>
      <c r="V108" t="s">
        <v>91</v>
      </c>
      <c r="Y108" t="s">
        <v>68</v>
      </c>
      <c r="Z108" t="s">
        <v>69</v>
      </c>
      <c r="AA108">
        <v>66.8</v>
      </c>
      <c r="AB108" t="s">
        <v>109</v>
      </c>
      <c r="AC108">
        <v>12</v>
      </c>
      <c r="AD108">
        <v>17.666918237202545</v>
      </c>
      <c r="AE108" t="s">
        <v>664</v>
      </c>
      <c r="AF108">
        <v>80</v>
      </c>
      <c r="AG108">
        <v>12</v>
      </c>
      <c r="AH108">
        <v>40.183578735597948</v>
      </c>
      <c r="AI108" t="s">
        <v>665</v>
      </c>
      <c r="AJ108" t="s">
        <v>74</v>
      </c>
      <c r="AK108">
        <v>0.4105784828110608</v>
      </c>
      <c r="AL108">
        <v>0.17017863938640485</v>
      </c>
      <c r="AM108">
        <v>24</v>
      </c>
      <c r="AN108">
        <v>1</v>
      </c>
      <c r="AO108">
        <v>0.41252713775751149</v>
      </c>
      <c r="AP108">
        <v>0.99527629877383694</v>
      </c>
      <c r="AQ108">
        <v>-0.39795984983905508</v>
      </c>
      <c r="AR108">
        <v>1.2191168154611767</v>
      </c>
      <c r="AS108">
        <v>1966</v>
      </c>
      <c r="AT108" t="s">
        <v>95</v>
      </c>
      <c r="AU108" t="s">
        <v>60</v>
      </c>
      <c r="AV108" t="s">
        <v>96</v>
      </c>
      <c r="AW108" t="s">
        <v>74</v>
      </c>
      <c r="AX108" t="s">
        <v>74</v>
      </c>
      <c r="AY108" t="s">
        <v>114</v>
      </c>
    </row>
    <row r="109" spans="1:51" x14ac:dyDescent="0.75">
      <c r="A109" t="s">
        <v>666</v>
      </c>
      <c r="B109" t="s">
        <v>52</v>
      </c>
      <c r="C109" t="s">
        <v>53</v>
      </c>
      <c r="D109" t="s">
        <v>667</v>
      </c>
      <c r="E109" t="s">
        <v>668</v>
      </c>
      <c r="H109" t="s">
        <v>119</v>
      </c>
      <c r="L109" t="s">
        <v>60</v>
      </c>
      <c r="P109" t="s">
        <v>669</v>
      </c>
      <c r="Q109" t="s">
        <v>63</v>
      </c>
      <c r="R109" t="s">
        <v>64</v>
      </c>
      <c r="T109" t="s">
        <v>66</v>
      </c>
      <c r="U109">
        <v>1</v>
      </c>
      <c r="W109" t="s">
        <v>79</v>
      </c>
      <c r="X109" t="s">
        <v>139</v>
      </c>
      <c r="Y109" t="s">
        <v>68</v>
      </c>
      <c r="Z109" t="s">
        <v>69</v>
      </c>
      <c r="AA109">
        <v>110.64</v>
      </c>
      <c r="AB109" t="s">
        <v>51</v>
      </c>
      <c r="AC109">
        <v>10</v>
      </c>
      <c r="AD109">
        <v>21.946206961568556</v>
      </c>
      <c r="AE109" t="s">
        <v>670</v>
      </c>
      <c r="AF109">
        <v>74.319999999999993</v>
      </c>
      <c r="AG109">
        <v>10</v>
      </c>
      <c r="AH109">
        <v>37.378121943190273</v>
      </c>
      <c r="AI109" t="s">
        <v>671</v>
      </c>
      <c r="AJ109" t="s">
        <v>72</v>
      </c>
      <c r="AK109">
        <v>-1.1348288753149651</v>
      </c>
      <c r="AL109">
        <v>0.23219591440621573</v>
      </c>
      <c r="AM109">
        <v>20</v>
      </c>
      <c r="AN109">
        <v>1</v>
      </c>
      <c r="AO109">
        <v>0.48186711280830913</v>
      </c>
      <c r="AP109">
        <v>-2.35506604445614</v>
      </c>
      <c r="AQ109">
        <v>-2.0792710617535501</v>
      </c>
      <c r="AR109">
        <v>-0.19038668887637999</v>
      </c>
      <c r="AS109">
        <v>1989</v>
      </c>
      <c r="AT109" t="s">
        <v>73</v>
      </c>
      <c r="AU109" t="s">
        <v>60</v>
      </c>
      <c r="AV109" t="s">
        <v>74</v>
      </c>
      <c r="AW109" t="s">
        <v>74</v>
      </c>
      <c r="AX109" t="s">
        <v>84</v>
      </c>
      <c r="AY109" t="s">
        <v>74</v>
      </c>
    </row>
    <row r="110" spans="1:51" x14ac:dyDescent="0.75">
      <c r="A110" t="s">
        <v>672</v>
      </c>
      <c r="B110" t="s">
        <v>52</v>
      </c>
      <c r="C110" t="s">
        <v>53</v>
      </c>
      <c r="D110" t="s">
        <v>673</v>
      </c>
      <c r="E110" t="s">
        <v>674</v>
      </c>
      <c r="F110" t="s">
        <v>56</v>
      </c>
      <c r="G110" t="s">
        <v>139</v>
      </c>
      <c r="H110" t="s">
        <v>119</v>
      </c>
      <c r="L110" t="s">
        <v>60</v>
      </c>
      <c r="M110" t="s">
        <v>145</v>
      </c>
      <c r="P110" t="s">
        <v>158</v>
      </c>
      <c r="Q110" t="s">
        <v>63</v>
      </c>
      <c r="R110" t="s">
        <v>64</v>
      </c>
      <c r="T110" t="s">
        <v>66</v>
      </c>
      <c r="U110">
        <v>2</v>
      </c>
      <c r="V110" t="s">
        <v>91</v>
      </c>
      <c r="W110" t="s">
        <v>79</v>
      </c>
      <c r="X110" t="s">
        <v>80</v>
      </c>
      <c r="Y110" t="s">
        <v>68</v>
      </c>
      <c r="Z110" t="s">
        <v>69</v>
      </c>
      <c r="AA110">
        <v>50.6</v>
      </c>
      <c r="AB110" t="s">
        <v>455</v>
      </c>
      <c r="AC110">
        <v>19</v>
      </c>
      <c r="AD110">
        <v>20.312469076899543</v>
      </c>
      <c r="AE110" t="s">
        <v>675</v>
      </c>
      <c r="AF110">
        <v>24.3</v>
      </c>
      <c r="AG110">
        <v>7</v>
      </c>
      <c r="AH110">
        <v>20.107709964090887</v>
      </c>
      <c r="AI110" t="s">
        <v>608</v>
      </c>
      <c r="AJ110" t="s">
        <v>72</v>
      </c>
      <c r="AK110">
        <v>-1.2569671154449218</v>
      </c>
      <c r="AL110">
        <v>0.22587268967585603</v>
      </c>
      <c r="AM110">
        <v>26</v>
      </c>
      <c r="AN110">
        <v>1</v>
      </c>
      <c r="AO110">
        <v>0.47526065445801002</v>
      </c>
      <c r="AP110">
        <v>-2.6447952374226609</v>
      </c>
      <c r="AQ110">
        <v>-2.1884608814515567</v>
      </c>
      <c r="AR110">
        <v>-0.32547334943828676</v>
      </c>
      <c r="AS110">
        <v>1998</v>
      </c>
      <c r="AT110" t="s">
        <v>73</v>
      </c>
      <c r="AU110" t="s">
        <v>60</v>
      </c>
      <c r="AV110" t="s">
        <v>74</v>
      </c>
      <c r="AW110" t="s">
        <v>74</v>
      </c>
      <c r="AX110" t="s">
        <v>84</v>
      </c>
      <c r="AY110" t="s">
        <v>114</v>
      </c>
    </row>
    <row r="111" spans="1:51" x14ac:dyDescent="0.75">
      <c r="A111" t="s">
        <v>676</v>
      </c>
      <c r="B111" t="s">
        <v>52</v>
      </c>
      <c r="C111" t="s">
        <v>53</v>
      </c>
      <c r="D111" t="s">
        <v>677</v>
      </c>
      <c r="E111" t="s">
        <v>678</v>
      </c>
      <c r="F111" t="s">
        <v>56</v>
      </c>
      <c r="G111" t="s">
        <v>177</v>
      </c>
      <c r="P111" t="s">
        <v>207</v>
      </c>
      <c r="Q111" t="s">
        <v>63</v>
      </c>
      <c r="T111" t="s">
        <v>66</v>
      </c>
      <c r="U111">
        <v>1</v>
      </c>
      <c r="V111" t="s">
        <v>67</v>
      </c>
      <c r="W111" t="s">
        <v>294</v>
      </c>
      <c r="Y111" t="s">
        <v>68</v>
      </c>
      <c r="Z111" t="s">
        <v>69</v>
      </c>
      <c r="AA111">
        <v>53.5</v>
      </c>
      <c r="AB111" t="s">
        <v>57</v>
      </c>
      <c r="AC111">
        <v>6</v>
      </c>
      <c r="AD111">
        <v>6.319683536380599</v>
      </c>
      <c r="AE111" t="s">
        <v>450</v>
      </c>
      <c r="AF111">
        <v>36.67</v>
      </c>
      <c r="AG111">
        <v>6</v>
      </c>
      <c r="AH111">
        <v>3.6742346141747668</v>
      </c>
      <c r="AI111" t="s">
        <v>480</v>
      </c>
      <c r="AJ111" t="s">
        <v>72</v>
      </c>
      <c r="AK111">
        <v>-3.0043766457214995</v>
      </c>
      <c r="AL111">
        <v>0.70942829288986531</v>
      </c>
      <c r="AM111">
        <v>12</v>
      </c>
      <c r="AN111">
        <v>1</v>
      </c>
      <c r="AO111">
        <v>0.84227566324206782</v>
      </c>
      <c r="AP111">
        <v>-3.5669754889475533</v>
      </c>
      <c r="AQ111">
        <v>-4.6552066107305397</v>
      </c>
      <c r="AR111">
        <v>-1.3535466807124596</v>
      </c>
      <c r="AS111">
        <v>2001</v>
      </c>
      <c r="AT111" t="s">
        <v>73</v>
      </c>
      <c r="AU111" t="s">
        <v>60</v>
      </c>
      <c r="AV111" t="s">
        <v>96</v>
      </c>
      <c r="AW111" t="s">
        <v>60</v>
      </c>
      <c r="AX111" t="s">
        <v>96</v>
      </c>
      <c r="AY111" t="s">
        <v>96</v>
      </c>
    </row>
    <row r="112" spans="1:51" x14ac:dyDescent="0.75">
      <c r="A112" t="s">
        <v>679</v>
      </c>
      <c r="B112" t="s">
        <v>52</v>
      </c>
      <c r="C112" t="s">
        <v>53</v>
      </c>
      <c r="D112" t="s">
        <v>680</v>
      </c>
      <c r="E112" t="s">
        <v>615</v>
      </c>
      <c r="F112" t="s">
        <v>56</v>
      </c>
      <c r="G112" t="s">
        <v>69</v>
      </c>
      <c r="H112" t="s">
        <v>137</v>
      </c>
      <c r="I112" t="s">
        <v>80</v>
      </c>
      <c r="K112" t="s">
        <v>78</v>
      </c>
      <c r="O112" t="s">
        <v>681</v>
      </c>
      <c r="P112" t="s">
        <v>351</v>
      </c>
      <c r="Q112" t="s">
        <v>63</v>
      </c>
      <c r="R112" t="s">
        <v>64</v>
      </c>
      <c r="S112" t="s">
        <v>122</v>
      </c>
      <c r="T112" t="s">
        <v>66</v>
      </c>
      <c r="U112">
        <v>2</v>
      </c>
      <c r="V112" t="s">
        <v>91</v>
      </c>
      <c r="W112" t="s">
        <v>79</v>
      </c>
      <c r="X112" t="s">
        <v>139</v>
      </c>
      <c r="Y112" t="s">
        <v>68</v>
      </c>
      <c r="Z112" t="s">
        <v>69</v>
      </c>
      <c r="AA112">
        <v>70.989999999999995</v>
      </c>
      <c r="AB112" t="s">
        <v>69</v>
      </c>
      <c r="AC112">
        <v>5</v>
      </c>
      <c r="AD112">
        <v>11.940602999848878</v>
      </c>
      <c r="AE112" t="s">
        <v>682</v>
      </c>
      <c r="AF112">
        <v>18.11</v>
      </c>
      <c r="AG112">
        <v>5</v>
      </c>
      <c r="AH112">
        <v>3.3317412864746867</v>
      </c>
      <c r="AI112" t="s">
        <v>683</v>
      </c>
      <c r="AJ112" t="s">
        <v>72</v>
      </c>
      <c r="AK112">
        <v>-5.4455899259607676</v>
      </c>
      <c r="AL112">
        <v>1.8827224820862698</v>
      </c>
      <c r="AM112">
        <v>10</v>
      </c>
      <c r="AN112">
        <v>1</v>
      </c>
      <c r="AO112">
        <v>1.3721233479852566</v>
      </c>
      <c r="AP112">
        <v>-3.9687320633066587</v>
      </c>
      <c r="AQ112">
        <v>-8.1349022703583902</v>
      </c>
      <c r="AR112">
        <v>-2.7562775815631451</v>
      </c>
      <c r="AS112">
        <v>2012</v>
      </c>
      <c r="AT112" t="s">
        <v>73</v>
      </c>
      <c r="AU112" t="s">
        <v>60</v>
      </c>
      <c r="AV112" t="s">
        <v>74</v>
      </c>
      <c r="AW112" t="s">
        <v>74</v>
      </c>
      <c r="AX112" t="s">
        <v>74</v>
      </c>
      <c r="AY112" t="s">
        <v>97</v>
      </c>
    </row>
    <row r="113" spans="1:51" x14ac:dyDescent="0.75">
      <c r="A113" t="s">
        <v>684</v>
      </c>
      <c r="B113" t="s">
        <v>52</v>
      </c>
      <c r="C113" t="s">
        <v>53</v>
      </c>
      <c r="D113" t="s">
        <v>685</v>
      </c>
      <c r="E113" t="s">
        <v>237</v>
      </c>
      <c r="F113" t="s">
        <v>56</v>
      </c>
      <c r="G113" t="s">
        <v>69</v>
      </c>
      <c r="H113" t="s">
        <v>92</v>
      </c>
      <c r="P113" t="s">
        <v>686</v>
      </c>
      <c r="Q113" t="s">
        <v>239</v>
      </c>
      <c r="R113" t="s">
        <v>64</v>
      </c>
      <c r="S113" t="s">
        <v>219</v>
      </c>
      <c r="T113" t="s">
        <v>66</v>
      </c>
      <c r="U113">
        <v>1.5</v>
      </c>
      <c r="V113" t="s">
        <v>67</v>
      </c>
      <c r="W113" t="s">
        <v>79</v>
      </c>
      <c r="X113" t="s">
        <v>80</v>
      </c>
      <c r="Y113" t="s">
        <v>68</v>
      </c>
      <c r="Z113" t="s">
        <v>69</v>
      </c>
      <c r="AA113">
        <v>74.5</v>
      </c>
      <c r="AB113" t="s">
        <v>69</v>
      </c>
      <c r="AC113">
        <v>10</v>
      </c>
      <c r="AD113">
        <v>30.357865537616441</v>
      </c>
      <c r="AE113" t="s">
        <v>687</v>
      </c>
      <c r="AF113">
        <v>60.3</v>
      </c>
      <c r="AG113">
        <v>10</v>
      </c>
      <c r="AH113">
        <v>29.409182239565933</v>
      </c>
      <c r="AI113" t="s">
        <v>688</v>
      </c>
      <c r="AJ113" t="s">
        <v>239</v>
      </c>
      <c r="AK113">
        <v>-0.4549954195211241</v>
      </c>
      <c r="AL113">
        <v>0.20517552079463011</v>
      </c>
      <c r="AM113">
        <v>20</v>
      </c>
      <c r="AN113">
        <v>1</v>
      </c>
      <c r="AO113">
        <v>0.45296304572738616</v>
      </c>
      <c r="AP113">
        <v>-1.0044868423879354</v>
      </c>
      <c r="AQ113">
        <v>-1.3427866754743705</v>
      </c>
      <c r="AR113">
        <v>0.43279583643212227</v>
      </c>
      <c r="AS113">
        <v>2025</v>
      </c>
      <c r="AT113" t="s">
        <v>73</v>
      </c>
      <c r="AU113" t="s">
        <v>60</v>
      </c>
      <c r="AV113" t="s">
        <v>74</v>
      </c>
      <c r="AW113" t="s">
        <v>74</v>
      </c>
      <c r="AX113" t="s">
        <v>74</v>
      </c>
      <c r="AY113" t="s">
        <v>84</v>
      </c>
    </row>
    <row r="114" spans="1:51" x14ac:dyDescent="0.75">
      <c r="A114" t="s">
        <v>689</v>
      </c>
      <c r="B114" t="s">
        <v>52</v>
      </c>
      <c r="C114" t="s">
        <v>53</v>
      </c>
      <c r="D114" t="s">
        <v>690</v>
      </c>
      <c r="E114" t="s">
        <v>691</v>
      </c>
      <c r="F114" t="s">
        <v>56</v>
      </c>
      <c r="G114" t="s">
        <v>584</v>
      </c>
      <c r="H114" t="s">
        <v>92</v>
      </c>
      <c r="P114" t="s">
        <v>585</v>
      </c>
      <c r="Q114" t="s">
        <v>72</v>
      </c>
      <c r="R114" t="s">
        <v>64</v>
      </c>
      <c r="S114" t="s">
        <v>692</v>
      </c>
      <c r="T114" t="s">
        <v>66</v>
      </c>
      <c r="U114">
        <v>1</v>
      </c>
      <c r="V114" t="s">
        <v>91</v>
      </c>
      <c r="Y114" t="s">
        <v>68</v>
      </c>
      <c r="Z114" t="s">
        <v>69</v>
      </c>
      <c r="AA114">
        <v>144.6</v>
      </c>
      <c r="AB114" t="s">
        <v>51</v>
      </c>
      <c r="AC114">
        <v>10</v>
      </c>
      <c r="AD114">
        <v>39.844698518121582</v>
      </c>
      <c r="AE114" t="s">
        <v>693</v>
      </c>
      <c r="AF114">
        <v>120.1</v>
      </c>
      <c r="AG114">
        <v>10</v>
      </c>
      <c r="AH114">
        <v>63.245553203367592</v>
      </c>
      <c r="AI114" t="s">
        <v>92</v>
      </c>
      <c r="AJ114" t="s">
        <v>72</v>
      </c>
      <c r="AK114">
        <v>-0.44388822074698492</v>
      </c>
      <c r="AL114">
        <v>0.20492591881294811</v>
      </c>
      <c r="AM114">
        <v>20</v>
      </c>
      <c r="AN114">
        <v>1</v>
      </c>
      <c r="AO114">
        <v>0.45268744052927745</v>
      </c>
      <c r="AP114">
        <v>-0.98056226218247944</v>
      </c>
      <c r="AQ114">
        <v>-1.3311393004379861</v>
      </c>
      <c r="AR114">
        <v>0.44336285894401634</v>
      </c>
      <c r="AS114">
        <v>2093</v>
      </c>
      <c r="AT114" t="s">
        <v>73</v>
      </c>
      <c r="AU114" t="s">
        <v>60</v>
      </c>
      <c r="AV114" t="s">
        <v>96</v>
      </c>
      <c r="AW114" t="s">
        <v>74</v>
      </c>
      <c r="AX114" t="s">
        <v>74</v>
      </c>
      <c r="AY114" t="s">
        <v>97</v>
      </c>
    </row>
    <row r="115" spans="1:51" x14ac:dyDescent="0.75">
      <c r="A115" t="s">
        <v>694</v>
      </c>
      <c r="B115" t="s">
        <v>52</v>
      </c>
      <c r="C115" t="s">
        <v>53</v>
      </c>
      <c r="D115" t="s">
        <v>695</v>
      </c>
      <c r="E115" t="s">
        <v>696</v>
      </c>
      <c r="H115" t="s">
        <v>101</v>
      </c>
      <c r="P115" t="s">
        <v>158</v>
      </c>
      <c r="Q115" t="s">
        <v>63</v>
      </c>
      <c r="R115" t="s">
        <v>64</v>
      </c>
      <c r="T115" t="s">
        <v>66</v>
      </c>
      <c r="U115">
        <v>1</v>
      </c>
      <c r="V115" t="s">
        <v>91</v>
      </c>
      <c r="Y115" t="s">
        <v>68</v>
      </c>
      <c r="Z115" t="s">
        <v>69</v>
      </c>
      <c r="AA115">
        <v>47.81</v>
      </c>
      <c r="AB115" t="s">
        <v>659</v>
      </c>
      <c r="AC115">
        <v>16</v>
      </c>
      <c r="AD115">
        <v>16.28</v>
      </c>
      <c r="AE115" t="s">
        <v>697</v>
      </c>
      <c r="AF115">
        <v>42.31</v>
      </c>
      <c r="AG115">
        <v>16</v>
      </c>
      <c r="AH115">
        <v>18.8</v>
      </c>
      <c r="AI115" t="s">
        <v>698</v>
      </c>
      <c r="AJ115" t="s">
        <v>72</v>
      </c>
      <c r="AK115">
        <v>-0.30486713781787594</v>
      </c>
      <c r="AL115">
        <v>0.12645224955814474</v>
      </c>
      <c r="AM115">
        <v>32</v>
      </c>
      <c r="AN115">
        <v>1</v>
      </c>
      <c r="AO115">
        <v>0.35560125078259319</v>
      </c>
      <c r="AP115">
        <v>-0.8573286430993603</v>
      </c>
      <c r="AQ115">
        <v>-1.0018327822091542</v>
      </c>
      <c r="AR115">
        <v>0.39209850657340234</v>
      </c>
      <c r="AS115">
        <v>2098</v>
      </c>
      <c r="AT115" t="s">
        <v>73</v>
      </c>
      <c r="AU115" t="s">
        <v>60</v>
      </c>
      <c r="AV115" t="s">
        <v>74</v>
      </c>
      <c r="AW115" t="s">
        <v>74</v>
      </c>
      <c r="AX115" t="s">
        <v>74</v>
      </c>
      <c r="AY115" t="s">
        <v>114</v>
      </c>
    </row>
    <row r="116" spans="1:51" x14ac:dyDescent="0.75">
      <c r="A116" t="s">
        <v>699</v>
      </c>
      <c r="B116" t="s">
        <v>52</v>
      </c>
      <c r="C116" t="s">
        <v>53</v>
      </c>
      <c r="D116" t="s">
        <v>700</v>
      </c>
      <c r="E116" t="s">
        <v>701</v>
      </c>
      <c r="H116" t="s">
        <v>101</v>
      </c>
      <c r="K116" t="s">
        <v>110</v>
      </c>
      <c r="P116" t="s">
        <v>428</v>
      </c>
      <c r="Q116" t="s">
        <v>138</v>
      </c>
      <c r="R116" t="s">
        <v>64</v>
      </c>
      <c r="T116" t="s">
        <v>66</v>
      </c>
      <c r="U116">
        <v>2</v>
      </c>
      <c r="V116" t="s">
        <v>91</v>
      </c>
      <c r="W116" t="s">
        <v>79</v>
      </c>
      <c r="X116" t="s">
        <v>139</v>
      </c>
      <c r="Y116" t="s">
        <v>68</v>
      </c>
      <c r="Z116" t="s">
        <v>57</v>
      </c>
      <c r="AA116">
        <v>93.09</v>
      </c>
      <c r="AB116" t="s">
        <v>57</v>
      </c>
      <c r="AC116">
        <v>6</v>
      </c>
      <c r="AD116">
        <v>5.09</v>
      </c>
      <c r="AE116" t="s">
        <v>702</v>
      </c>
      <c r="AF116">
        <v>139.63</v>
      </c>
      <c r="AG116">
        <v>6</v>
      </c>
      <c r="AH116">
        <v>5.4600000000000071</v>
      </c>
      <c r="AI116" t="s">
        <v>703</v>
      </c>
      <c r="AJ116" t="s">
        <v>74</v>
      </c>
      <c r="AK116">
        <v>8.1361506010265625</v>
      </c>
      <c r="AL116">
        <v>3.0915394417743705</v>
      </c>
      <c r="AM116">
        <v>12</v>
      </c>
      <c r="AN116">
        <v>1</v>
      </c>
      <c r="AO116">
        <v>1.7582774075140619</v>
      </c>
      <c r="AP116">
        <v>4.6273418325552207</v>
      </c>
      <c r="AQ116">
        <v>4.6899902074685453</v>
      </c>
      <c r="AR116">
        <v>11.58231099458458</v>
      </c>
      <c r="AS116">
        <v>2123</v>
      </c>
      <c r="AT116" t="s">
        <v>95</v>
      </c>
      <c r="AU116" t="s">
        <v>60</v>
      </c>
      <c r="AV116" t="s">
        <v>74</v>
      </c>
      <c r="AW116" t="s">
        <v>74</v>
      </c>
      <c r="AX116" t="s">
        <v>74</v>
      </c>
      <c r="AY116" t="s">
        <v>74</v>
      </c>
    </row>
    <row r="117" spans="1:51" x14ac:dyDescent="0.75">
      <c r="A117" t="s">
        <v>704</v>
      </c>
      <c r="B117" t="s">
        <v>52</v>
      </c>
      <c r="C117" t="s">
        <v>53</v>
      </c>
      <c r="D117" t="s">
        <v>705</v>
      </c>
      <c r="E117" t="s">
        <v>706</v>
      </c>
      <c r="H117" t="s">
        <v>137</v>
      </c>
      <c r="M117" t="s">
        <v>145</v>
      </c>
      <c r="P117" t="s">
        <v>146</v>
      </c>
      <c r="Q117" t="s">
        <v>102</v>
      </c>
      <c r="R117" t="s">
        <v>103</v>
      </c>
      <c r="T117" t="s">
        <v>66</v>
      </c>
      <c r="U117">
        <v>0.5</v>
      </c>
      <c r="V117" t="s">
        <v>91</v>
      </c>
      <c r="W117" t="s">
        <v>79</v>
      </c>
      <c r="X117" t="s">
        <v>139</v>
      </c>
      <c r="Y117" t="s">
        <v>68</v>
      </c>
      <c r="AA117">
        <v>130.54</v>
      </c>
      <c r="AB117" t="s">
        <v>57</v>
      </c>
      <c r="AC117">
        <v>6</v>
      </c>
      <c r="AD117">
        <v>2.4004999479275142</v>
      </c>
      <c r="AE117" t="s">
        <v>707</v>
      </c>
      <c r="AF117">
        <v>6.87</v>
      </c>
      <c r="AG117">
        <v>6</v>
      </c>
      <c r="AH117">
        <v>0.26944387170614958</v>
      </c>
      <c r="AI117" t="s">
        <v>708</v>
      </c>
      <c r="AJ117" t="s">
        <v>102</v>
      </c>
      <c r="AK117">
        <v>-66.80991438409184</v>
      </c>
      <c r="AL117">
        <v>186.31519416707008</v>
      </c>
      <c r="AM117">
        <v>12</v>
      </c>
      <c r="AN117">
        <v>1</v>
      </c>
      <c r="AO117">
        <v>13.649732384448791</v>
      </c>
      <c r="AP117">
        <v>-4.8945951834344177</v>
      </c>
      <c r="AQ117">
        <v>-93.562898256221501</v>
      </c>
      <c r="AR117">
        <v>-40.056930511962179</v>
      </c>
      <c r="AS117">
        <v>2130</v>
      </c>
      <c r="AT117" t="s">
        <v>73</v>
      </c>
      <c r="AU117" t="s">
        <v>60</v>
      </c>
      <c r="AV117" t="s">
        <v>84</v>
      </c>
      <c r="AW117" t="s">
        <v>60</v>
      </c>
      <c r="AX117" t="s">
        <v>84</v>
      </c>
      <c r="AY117" t="s">
        <v>74</v>
      </c>
    </row>
    <row r="118" spans="1:51" x14ac:dyDescent="0.75">
      <c r="A118" t="s">
        <v>709</v>
      </c>
      <c r="B118" t="s">
        <v>52</v>
      </c>
      <c r="C118" t="s">
        <v>53</v>
      </c>
      <c r="D118" t="s">
        <v>710</v>
      </c>
      <c r="E118" t="s">
        <v>711</v>
      </c>
      <c r="H118" t="s">
        <v>128</v>
      </c>
      <c r="P118" t="s">
        <v>158</v>
      </c>
      <c r="Q118" t="s">
        <v>63</v>
      </c>
      <c r="R118" t="s">
        <v>64</v>
      </c>
      <c r="T118" t="s">
        <v>66</v>
      </c>
      <c r="U118">
        <v>2</v>
      </c>
      <c r="V118" t="s">
        <v>91</v>
      </c>
      <c r="W118" t="s">
        <v>294</v>
      </c>
      <c r="Y118" t="s">
        <v>68</v>
      </c>
      <c r="Z118" t="s">
        <v>69</v>
      </c>
      <c r="AA118">
        <v>81.709999999999994</v>
      </c>
      <c r="AB118" t="s">
        <v>219</v>
      </c>
      <c r="AC118">
        <v>9</v>
      </c>
      <c r="AD118">
        <v>20.310000000000031</v>
      </c>
      <c r="AE118" t="s">
        <v>712</v>
      </c>
      <c r="AF118">
        <v>55.3</v>
      </c>
      <c r="AG118">
        <v>9</v>
      </c>
      <c r="AH118">
        <v>10.83</v>
      </c>
      <c r="AI118" t="s">
        <v>713</v>
      </c>
      <c r="AJ118" t="s">
        <v>72</v>
      </c>
      <c r="AK118">
        <v>-1.5452056961007239</v>
      </c>
      <c r="AL118">
        <v>0.28854612897950338</v>
      </c>
      <c r="AM118">
        <v>18</v>
      </c>
      <c r="AN118">
        <v>1</v>
      </c>
      <c r="AO118">
        <v>0.53716489924370836</v>
      </c>
      <c r="AP118">
        <v>-2.8765946886631433</v>
      </c>
      <c r="AQ118">
        <v>-2.5980295523774792</v>
      </c>
      <c r="AR118">
        <v>-0.49238183982396877</v>
      </c>
      <c r="AS118">
        <v>2138</v>
      </c>
      <c r="AT118" t="s">
        <v>73</v>
      </c>
      <c r="AU118" t="s">
        <v>60</v>
      </c>
      <c r="AV118" t="s">
        <v>74</v>
      </c>
      <c r="AW118" t="s">
        <v>74</v>
      </c>
      <c r="AX118" t="s">
        <v>74</v>
      </c>
      <c r="AY118" t="s">
        <v>97</v>
      </c>
    </row>
    <row r="119" spans="1:51" x14ac:dyDescent="0.75">
      <c r="A119" t="s">
        <v>714</v>
      </c>
      <c r="B119" t="s">
        <v>52</v>
      </c>
      <c r="C119" t="s">
        <v>53</v>
      </c>
      <c r="D119" t="s">
        <v>715</v>
      </c>
      <c r="E119" t="s">
        <v>548</v>
      </c>
      <c r="F119" t="s">
        <v>56</v>
      </c>
      <c r="G119" t="s">
        <v>78</v>
      </c>
      <c r="H119" t="s">
        <v>137</v>
      </c>
      <c r="I119" t="s">
        <v>189</v>
      </c>
      <c r="P119" t="s">
        <v>549</v>
      </c>
      <c r="Q119" t="s">
        <v>138</v>
      </c>
      <c r="R119" t="s">
        <v>64</v>
      </c>
      <c r="T119" t="s">
        <v>66</v>
      </c>
      <c r="U119">
        <v>1</v>
      </c>
      <c r="Y119" t="s">
        <v>68</v>
      </c>
      <c r="Z119" t="s">
        <v>69</v>
      </c>
      <c r="AA119">
        <v>118</v>
      </c>
      <c r="AB119" t="s">
        <v>57</v>
      </c>
      <c r="AC119">
        <v>6</v>
      </c>
      <c r="AD119">
        <v>31.353468707624678</v>
      </c>
      <c r="AE119" t="s">
        <v>716</v>
      </c>
      <c r="AF119">
        <v>155</v>
      </c>
      <c r="AG119">
        <v>6</v>
      </c>
      <c r="AH119">
        <v>20.575713839378697</v>
      </c>
      <c r="AI119" t="s">
        <v>717</v>
      </c>
      <c r="AJ119" t="s">
        <v>74</v>
      </c>
      <c r="AK119">
        <v>1.2874912311138405</v>
      </c>
      <c r="AL119">
        <v>0.40240140292479298</v>
      </c>
      <c r="AM119">
        <v>12</v>
      </c>
      <c r="AN119">
        <v>1</v>
      </c>
      <c r="AO119">
        <v>0.63435116688218762</v>
      </c>
      <c r="AP119">
        <v>2.0296190790375808</v>
      </c>
      <c r="AQ119">
        <v>4.418579047379545E-2</v>
      </c>
      <c r="AR119">
        <v>2.5307966717538855</v>
      </c>
      <c r="AS119">
        <v>2140</v>
      </c>
      <c r="AT119" t="s">
        <v>95</v>
      </c>
      <c r="AU119" t="s">
        <v>60</v>
      </c>
      <c r="AV119" t="s">
        <v>96</v>
      </c>
      <c r="AW119" t="s">
        <v>60</v>
      </c>
      <c r="AX119" t="s">
        <v>96</v>
      </c>
      <c r="AY119" t="s">
        <v>96</v>
      </c>
    </row>
    <row r="120" spans="1:51" x14ac:dyDescent="0.75">
      <c r="A120" t="s">
        <v>718</v>
      </c>
      <c r="B120" t="s">
        <v>52</v>
      </c>
      <c r="C120" t="s">
        <v>53</v>
      </c>
      <c r="D120" t="s">
        <v>719</v>
      </c>
      <c r="E120" t="s">
        <v>720</v>
      </c>
      <c r="F120" t="s">
        <v>721</v>
      </c>
      <c r="H120" t="s">
        <v>299</v>
      </c>
      <c r="I120" t="s">
        <v>722</v>
      </c>
      <c r="Q120" t="s">
        <v>138</v>
      </c>
      <c r="T120" t="s">
        <v>66</v>
      </c>
      <c r="U120">
        <v>1</v>
      </c>
      <c r="V120" t="s">
        <v>91</v>
      </c>
      <c r="W120" t="s">
        <v>294</v>
      </c>
      <c r="Y120" t="s">
        <v>68</v>
      </c>
      <c r="Z120" t="s">
        <v>69</v>
      </c>
      <c r="AA120">
        <v>118.2</v>
      </c>
      <c r="AB120" t="s">
        <v>92</v>
      </c>
      <c r="AC120">
        <v>20</v>
      </c>
      <c r="AD120">
        <v>45.615786740995709</v>
      </c>
      <c r="AE120" t="s">
        <v>723</v>
      </c>
      <c r="AF120">
        <v>170.3</v>
      </c>
      <c r="AG120">
        <v>20</v>
      </c>
      <c r="AH120">
        <v>28.174456516497351</v>
      </c>
      <c r="AI120" t="s">
        <v>724</v>
      </c>
      <c r="AJ120" t="s">
        <v>74</v>
      </c>
      <c r="AK120">
        <v>1.3469113388325975</v>
      </c>
      <c r="AL120">
        <v>0.12267712693344776</v>
      </c>
      <c r="AM120">
        <v>40</v>
      </c>
      <c r="AN120">
        <v>1</v>
      </c>
      <c r="AO120">
        <v>0.35025294707317989</v>
      </c>
      <c r="AP120">
        <v>3.8455389171962668</v>
      </c>
      <c r="AQ120">
        <v>0.66042817709015122</v>
      </c>
      <c r="AR120">
        <v>2.033394500575044</v>
      </c>
      <c r="AS120">
        <v>2162</v>
      </c>
      <c r="AT120" t="s">
        <v>95</v>
      </c>
      <c r="AU120" t="s">
        <v>60</v>
      </c>
      <c r="AV120" t="s">
        <v>96</v>
      </c>
      <c r="AW120" t="s">
        <v>60</v>
      </c>
      <c r="AX120" t="s">
        <v>96</v>
      </c>
      <c r="AY120" t="s">
        <v>96</v>
      </c>
    </row>
    <row r="121" spans="1:51" x14ac:dyDescent="0.75">
      <c r="A121" t="s">
        <v>725</v>
      </c>
      <c r="B121" t="s">
        <v>52</v>
      </c>
      <c r="C121" t="s">
        <v>53</v>
      </c>
      <c r="D121" t="s">
        <v>726</v>
      </c>
      <c r="E121" t="s">
        <v>157</v>
      </c>
      <c r="H121" t="s">
        <v>119</v>
      </c>
      <c r="M121" t="s">
        <v>145</v>
      </c>
      <c r="P121" t="s">
        <v>158</v>
      </c>
      <c r="Q121" t="s">
        <v>63</v>
      </c>
      <c r="R121" t="s">
        <v>64</v>
      </c>
      <c r="T121" t="s">
        <v>66</v>
      </c>
      <c r="U121">
        <v>1</v>
      </c>
      <c r="V121" t="s">
        <v>91</v>
      </c>
      <c r="W121" t="s">
        <v>294</v>
      </c>
      <c r="Y121" t="s">
        <v>68</v>
      </c>
      <c r="Z121" t="s">
        <v>69</v>
      </c>
      <c r="AA121">
        <v>48.4</v>
      </c>
      <c r="AB121" t="s">
        <v>51</v>
      </c>
      <c r="AC121">
        <v>10</v>
      </c>
      <c r="AD121">
        <v>7.4313525013956925</v>
      </c>
      <c r="AE121" t="s">
        <v>258</v>
      </c>
      <c r="AF121">
        <v>55.51</v>
      </c>
      <c r="AG121">
        <v>21</v>
      </c>
      <c r="AH121">
        <v>16.909704314387049</v>
      </c>
      <c r="AI121" t="s">
        <v>727</v>
      </c>
      <c r="AJ121" t="s">
        <v>72</v>
      </c>
      <c r="AK121">
        <v>0.47295927674898169</v>
      </c>
      <c r="AL121">
        <v>0.1512269585458689</v>
      </c>
      <c r="AM121">
        <v>31</v>
      </c>
      <c r="AN121">
        <v>1</v>
      </c>
      <c r="AO121">
        <v>0.38887910530892361</v>
      </c>
      <c r="AP121">
        <v>1.2162115945346696</v>
      </c>
      <c r="AQ121">
        <v>-0.28922976399666739</v>
      </c>
      <c r="AR121">
        <v>1.2351483174946307</v>
      </c>
      <c r="AS121">
        <v>2175</v>
      </c>
      <c r="AT121" t="s">
        <v>95</v>
      </c>
      <c r="AU121" t="s">
        <v>60</v>
      </c>
      <c r="AV121" t="s">
        <v>96</v>
      </c>
      <c r="AW121" t="s">
        <v>60</v>
      </c>
      <c r="AX121" t="s">
        <v>96</v>
      </c>
      <c r="AY121" t="s">
        <v>114</v>
      </c>
    </row>
    <row r="122" spans="1:51" x14ac:dyDescent="0.75">
      <c r="A122" t="s">
        <v>728</v>
      </c>
      <c r="B122" t="s">
        <v>52</v>
      </c>
      <c r="C122" t="s">
        <v>53</v>
      </c>
      <c r="D122" t="s">
        <v>729</v>
      </c>
      <c r="E122" t="s">
        <v>730</v>
      </c>
      <c r="P122" t="s">
        <v>428</v>
      </c>
      <c r="Q122" t="s">
        <v>63</v>
      </c>
      <c r="R122" t="s">
        <v>64</v>
      </c>
      <c r="T122" t="s">
        <v>66</v>
      </c>
      <c r="U122">
        <v>1</v>
      </c>
      <c r="V122" t="s">
        <v>91</v>
      </c>
      <c r="Y122" t="s">
        <v>68</v>
      </c>
      <c r="AA122">
        <v>60.4</v>
      </c>
      <c r="AB122" t="s">
        <v>69</v>
      </c>
      <c r="AC122">
        <v>5</v>
      </c>
      <c r="AD122">
        <v>27.727242920997394</v>
      </c>
      <c r="AE122" t="s">
        <v>731</v>
      </c>
      <c r="AF122">
        <v>7.3</v>
      </c>
      <c r="AG122">
        <v>5</v>
      </c>
      <c r="AH122">
        <v>11.180339887498949</v>
      </c>
      <c r="AI122" t="s">
        <v>69</v>
      </c>
      <c r="AJ122" t="s">
        <v>72</v>
      </c>
      <c r="AK122">
        <v>-2.2674326190461858</v>
      </c>
      <c r="AL122">
        <v>0.65706253409573234</v>
      </c>
      <c r="AM122">
        <v>10</v>
      </c>
      <c r="AN122">
        <v>1</v>
      </c>
      <c r="AO122">
        <v>0.81059393909387967</v>
      </c>
      <c r="AP122">
        <v>-2.7972484245081199</v>
      </c>
      <c r="AQ122">
        <v>-3.8561675457566436</v>
      </c>
      <c r="AR122">
        <v>-0.67869769233572774</v>
      </c>
      <c r="AS122">
        <v>2180</v>
      </c>
      <c r="AT122" t="s">
        <v>73</v>
      </c>
      <c r="AU122" t="s">
        <v>60</v>
      </c>
      <c r="AV122" t="s">
        <v>74</v>
      </c>
      <c r="AW122" t="s">
        <v>74</v>
      </c>
      <c r="AX122" t="s">
        <v>84</v>
      </c>
      <c r="AY122" t="s">
        <v>97</v>
      </c>
    </row>
    <row r="123" spans="1:51" x14ac:dyDescent="0.75">
      <c r="A123" t="s">
        <v>732</v>
      </c>
      <c r="B123" t="s">
        <v>52</v>
      </c>
      <c r="C123" t="s">
        <v>53</v>
      </c>
      <c r="D123" t="s">
        <v>733</v>
      </c>
      <c r="E123" t="s">
        <v>734</v>
      </c>
      <c r="H123" t="s">
        <v>515</v>
      </c>
      <c r="I123" t="s">
        <v>80</v>
      </c>
      <c r="P123" t="s">
        <v>735</v>
      </c>
      <c r="Q123" t="s">
        <v>63</v>
      </c>
      <c r="R123" t="s">
        <v>103</v>
      </c>
      <c r="S123" t="s">
        <v>352</v>
      </c>
      <c r="T123" t="s">
        <v>66</v>
      </c>
      <c r="U123">
        <v>2</v>
      </c>
      <c r="V123" t="s">
        <v>91</v>
      </c>
      <c r="W123" t="s">
        <v>79</v>
      </c>
      <c r="X123" t="s">
        <v>139</v>
      </c>
      <c r="Y123" t="s">
        <v>68</v>
      </c>
      <c r="Z123" t="s">
        <v>139</v>
      </c>
      <c r="AA123">
        <v>240.99</v>
      </c>
      <c r="AB123" t="s">
        <v>81</v>
      </c>
      <c r="AC123">
        <v>3</v>
      </c>
      <c r="AD123">
        <v>5.1095498823281877</v>
      </c>
      <c r="AE123" t="s">
        <v>736</v>
      </c>
      <c r="AF123">
        <v>36</v>
      </c>
      <c r="AG123">
        <v>3</v>
      </c>
      <c r="AH123">
        <v>3.6719477120460198</v>
      </c>
      <c r="AI123" t="s">
        <v>737</v>
      </c>
      <c r="AJ123" t="s">
        <v>72</v>
      </c>
      <c r="AK123">
        <v>-36.76132399080074</v>
      </c>
      <c r="AL123">
        <v>113.28291179638518</v>
      </c>
      <c r="AM123">
        <v>6</v>
      </c>
      <c r="AN123">
        <v>1</v>
      </c>
      <c r="AO123">
        <v>10.643444545652745</v>
      </c>
      <c r="AP123">
        <v>-3.4538935053516764</v>
      </c>
      <c r="AQ123">
        <v>-57.622091971729397</v>
      </c>
      <c r="AR123">
        <v>-15.900556009872084</v>
      </c>
      <c r="AS123">
        <v>2181</v>
      </c>
      <c r="AT123" t="s">
        <v>73</v>
      </c>
      <c r="AU123" t="s">
        <v>60</v>
      </c>
      <c r="AV123" t="s">
        <v>74</v>
      </c>
      <c r="AW123" t="s">
        <v>74</v>
      </c>
      <c r="AX123" t="s">
        <v>74</v>
      </c>
      <c r="AY123" t="s">
        <v>97</v>
      </c>
    </row>
    <row r="124" spans="1:51" x14ac:dyDescent="0.75">
      <c r="A124" t="s">
        <v>738</v>
      </c>
      <c r="B124" t="s">
        <v>52</v>
      </c>
      <c r="C124" t="s">
        <v>53</v>
      </c>
      <c r="D124" t="s">
        <v>739</v>
      </c>
      <c r="E124" t="s">
        <v>740</v>
      </c>
      <c r="F124" t="s">
        <v>56</v>
      </c>
      <c r="G124" t="s">
        <v>69</v>
      </c>
      <c r="H124" t="s">
        <v>92</v>
      </c>
      <c r="M124" t="s">
        <v>164</v>
      </c>
      <c r="N124" t="s">
        <v>206</v>
      </c>
      <c r="P124" t="s">
        <v>741</v>
      </c>
      <c r="Q124" t="s">
        <v>742</v>
      </c>
      <c r="T124" t="s">
        <v>66</v>
      </c>
      <c r="U124">
        <v>1</v>
      </c>
      <c r="V124" t="s">
        <v>91</v>
      </c>
      <c r="Y124" t="s">
        <v>68</v>
      </c>
      <c r="Z124" t="s">
        <v>80</v>
      </c>
      <c r="AA124">
        <v>1105</v>
      </c>
      <c r="AB124" t="s">
        <v>51</v>
      </c>
      <c r="AC124">
        <v>10</v>
      </c>
      <c r="AD124">
        <v>230.84626919229171</v>
      </c>
      <c r="AE124" t="s">
        <v>98</v>
      </c>
      <c r="AF124">
        <v>1108</v>
      </c>
      <c r="AG124">
        <v>10</v>
      </c>
      <c r="AH124">
        <v>167.60071598892412</v>
      </c>
      <c r="AI124" t="s">
        <v>743</v>
      </c>
      <c r="AJ124" t="s">
        <v>239</v>
      </c>
      <c r="AK124">
        <v>1.4242381097784222E-2</v>
      </c>
      <c r="AL124">
        <v>0.20000507113548338</v>
      </c>
      <c r="AM124">
        <v>20</v>
      </c>
      <c r="AN124">
        <v>1</v>
      </c>
      <c r="AO124">
        <v>0.44721926516585059</v>
      </c>
      <c r="AP124">
        <v>3.1846528553510452E-2</v>
      </c>
      <c r="AQ124">
        <v>-0.86229127181975118</v>
      </c>
      <c r="AR124">
        <v>0.89077603401531957</v>
      </c>
      <c r="AS124">
        <v>2197</v>
      </c>
      <c r="AT124" t="s">
        <v>73</v>
      </c>
      <c r="AU124" t="s">
        <v>68</v>
      </c>
      <c r="AV124" t="s">
        <v>74</v>
      </c>
      <c r="AW124" t="s">
        <v>74</v>
      </c>
      <c r="AX124" t="s">
        <v>96</v>
      </c>
      <c r="AY124" t="s">
        <v>97</v>
      </c>
    </row>
    <row r="125" spans="1:51" x14ac:dyDescent="0.75">
      <c r="A125" t="s">
        <v>738</v>
      </c>
      <c r="B125" t="s">
        <v>52</v>
      </c>
      <c r="C125" t="s">
        <v>53</v>
      </c>
      <c r="D125" t="s">
        <v>739</v>
      </c>
      <c r="E125" t="s">
        <v>740</v>
      </c>
      <c r="F125" t="s">
        <v>56</v>
      </c>
      <c r="G125" t="s">
        <v>69</v>
      </c>
      <c r="H125" t="s">
        <v>92</v>
      </c>
      <c r="M125" t="s">
        <v>164</v>
      </c>
      <c r="N125" t="s">
        <v>206</v>
      </c>
      <c r="P125" t="s">
        <v>741</v>
      </c>
      <c r="Q125" t="s">
        <v>742</v>
      </c>
      <c r="T125" t="s">
        <v>66</v>
      </c>
      <c r="U125">
        <v>1</v>
      </c>
      <c r="V125" t="s">
        <v>91</v>
      </c>
      <c r="Y125" t="s">
        <v>68</v>
      </c>
      <c r="Z125" t="s">
        <v>80</v>
      </c>
      <c r="AA125">
        <v>1105</v>
      </c>
      <c r="AB125" t="s">
        <v>51</v>
      </c>
      <c r="AC125">
        <v>10</v>
      </c>
      <c r="AD125">
        <v>230.84626919229171</v>
      </c>
      <c r="AE125" t="s">
        <v>98</v>
      </c>
      <c r="AF125">
        <v>1108</v>
      </c>
      <c r="AG125">
        <v>10</v>
      </c>
      <c r="AH125">
        <v>167.60071598892412</v>
      </c>
      <c r="AI125" t="s">
        <v>743</v>
      </c>
      <c r="AJ125" t="s">
        <v>239</v>
      </c>
      <c r="AK125">
        <v>1.4242381097784222E-2</v>
      </c>
      <c r="AL125">
        <v>0.20000507113548338</v>
      </c>
      <c r="AM125">
        <v>20</v>
      </c>
      <c r="AN125">
        <v>1</v>
      </c>
      <c r="AO125">
        <v>0.44721926516585059</v>
      </c>
      <c r="AP125">
        <v>3.1846528553510452E-2</v>
      </c>
      <c r="AQ125">
        <v>-0.86229127181975118</v>
      </c>
      <c r="AR125">
        <v>0.89077603401531957</v>
      </c>
      <c r="AS125">
        <v>2197</v>
      </c>
      <c r="AT125" t="s">
        <v>95</v>
      </c>
      <c r="AU125" t="s">
        <v>68</v>
      </c>
      <c r="AV125" t="s">
        <v>74</v>
      </c>
      <c r="AW125" t="s">
        <v>74</v>
      </c>
      <c r="AX125" t="s">
        <v>96</v>
      </c>
      <c r="AY125" t="s">
        <v>97</v>
      </c>
    </row>
    <row r="126" spans="1:51" x14ac:dyDescent="0.75">
      <c r="A126" t="s">
        <v>744</v>
      </c>
      <c r="B126" t="s">
        <v>52</v>
      </c>
      <c r="C126" t="s">
        <v>53</v>
      </c>
      <c r="D126" t="s">
        <v>745</v>
      </c>
      <c r="E126" t="s">
        <v>746</v>
      </c>
      <c r="F126" t="s">
        <v>56</v>
      </c>
      <c r="G126" t="s">
        <v>69</v>
      </c>
      <c r="M126" t="s">
        <v>145</v>
      </c>
      <c r="P126" t="s">
        <v>747</v>
      </c>
      <c r="Q126" t="s">
        <v>63</v>
      </c>
      <c r="R126" t="s">
        <v>64</v>
      </c>
      <c r="T126" t="s">
        <v>66</v>
      </c>
      <c r="U126">
        <v>0.2</v>
      </c>
      <c r="V126" t="s">
        <v>91</v>
      </c>
      <c r="W126" t="s">
        <v>79</v>
      </c>
      <c r="X126" t="s">
        <v>139</v>
      </c>
      <c r="Y126" t="s">
        <v>68</v>
      </c>
      <c r="Z126" t="s">
        <v>69</v>
      </c>
      <c r="AA126">
        <v>55</v>
      </c>
      <c r="AB126" t="s">
        <v>51</v>
      </c>
      <c r="AC126">
        <v>10</v>
      </c>
      <c r="AD126">
        <v>12.649110640673518</v>
      </c>
      <c r="AE126" t="s">
        <v>692</v>
      </c>
      <c r="AF126">
        <v>55.7</v>
      </c>
      <c r="AG126">
        <v>10</v>
      </c>
      <c r="AH126">
        <v>9.170605214488301</v>
      </c>
      <c r="AI126" t="s">
        <v>748</v>
      </c>
      <c r="AJ126" t="s">
        <v>72</v>
      </c>
      <c r="AK126">
        <v>6.0678430769940742E-2</v>
      </c>
      <c r="AL126">
        <v>0.20009204679901757</v>
      </c>
      <c r="AM126">
        <v>20</v>
      </c>
      <c r="AN126">
        <v>1</v>
      </c>
      <c r="AO126">
        <v>0.44731649511170229</v>
      </c>
      <c r="AP126">
        <v>0.13564988421629373</v>
      </c>
      <c r="AQ126">
        <v>-0.81604578933968286</v>
      </c>
      <c r="AR126">
        <v>0.93740265087956431</v>
      </c>
      <c r="AS126">
        <v>2216</v>
      </c>
      <c r="AT126" t="s">
        <v>95</v>
      </c>
      <c r="AU126" t="s">
        <v>60</v>
      </c>
      <c r="AV126" t="s">
        <v>96</v>
      </c>
      <c r="AW126" t="s">
        <v>60</v>
      </c>
      <c r="AX126" t="s">
        <v>96</v>
      </c>
      <c r="AY126" t="s">
        <v>97</v>
      </c>
    </row>
    <row r="127" spans="1:51" x14ac:dyDescent="0.75">
      <c r="A127" t="s">
        <v>749</v>
      </c>
      <c r="B127" t="s">
        <v>52</v>
      </c>
      <c r="C127" t="s">
        <v>53</v>
      </c>
      <c r="D127" t="s">
        <v>750</v>
      </c>
      <c r="E127" t="s">
        <v>751</v>
      </c>
      <c r="H127" t="s">
        <v>137</v>
      </c>
      <c r="P127" t="s">
        <v>752</v>
      </c>
      <c r="Q127" t="s">
        <v>753</v>
      </c>
      <c r="R127" t="s">
        <v>103</v>
      </c>
      <c r="T127" t="s">
        <v>66</v>
      </c>
      <c r="U127">
        <v>2</v>
      </c>
      <c r="W127" t="s">
        <v>79</v>
      </c>
      <c r="X127" t="s">
        <v>80</v>
      </c>
      <c r="Y127" t="s">
        <v>68</v>
      </c>
      <c r="Z127" t="s">
        <v>69</v>
      </c>
      <c r="AA127">
        <v>102.2</v>
      </c>
      <c r="AB127" t="s">
        <v>57</v>
      </c>
      <c r="AC127">
        <v>6</v>
      </c>
      <c r="AD127">
        <v>7.7893773820505059</v>
      </c>
      <c r="AE127" t="s">
        <v>296</v>
      </c>
      <c r="AF127">
        <v>86.8</v>
      </c>
      <c r="AG127">
        <v>6</v>
      </c>
      <c r="AH127">
        <v>11.659571175647926</v>
      </c>
      <c r="AI127" t="s">
        <v>754</v>
      </c>
      <c r="AJ127" t="s">
        <v>753</v>
      </c>
      <c r="AK127">
        <v>-1.4331902980857034</v>
      </c>
      <c r="AL127">
        <v>0.41891810127195778</v>
      </c>
      <c r="AM127">
        <v>12</v>
      </c>
      <c r="AN127">
        <v>1</v>
      </c>
      <c r="AO127">
        <v>0.64723882861889381</v>
      </c>
      <c r="AP127">
        <v>-2.2143144612382213</v>
      </c>
      <c r="AQ127">
        <v>-2.7017550915746273</v>
      </c>
      <c r="AR127">
        <v>-0.16462550459677927</v>
      </c>
      <c r="AS127">
        <v>2220</v>
      </c>
      <c r="AT127" t="s">
        <v>73</v>
      </c>
      <c r="AU127" t="s">
        <v>60</v>
      </c>
      <c r="AV127" t="s">
        <v>74</v>
      </c>
      <c r="AW127" t="s">
        <v>60</v>
      </c>
      <c r="AX127" t="s">
        <v>96</v>
      </c>
      <c r="AY127" t="s">
        <v>96</v>
      </c>
    </row>
    <row r="128" spans="1:51" x14ac:dyDescent="0.75">
      <c r="A128" t="s">
        <v>755</v>
      </c>
      <c r="B128" t="s">
        <v>52</v>
      </c>
      <c r="C128" t="s">
        <v>53</v>
      </c>
      <c r="D128" t="s">
        <v>756</v>
      </c>
      <c r="E128" t="s">
        <v>757</v>
      </c>
      <c r="F128" t="s">
        <v>56</v>
      </c>
      <c r="H128" t="s">
        <v>137</v>
      </c>
      <c r="I128" t="s">
        <v>189</v>
      </c>
      <c r="P128" t="s">
        <v>758</v>
      </c>
      <c r="Q128" t="s">
        <v>759</v>
      </c>
      <c r="R128" t="s">
        <v>64</v>
      </c>
      <c r="T128" t="s">
        <v>66</v>
      </c>
      <c r="U128">
        <v>0.5</v>
      </c>
      <c r="V128" t="s">
        <v>91</v>
      </c>
      <c r="W128" t="s">
        <v>79</v>
      </c>
      <c r="X128" t="s">
        <v>139</v>
      </c>
      <c r="Y128" t="s">
        <v>68</v>
      </c>
      <c r="Z128" t="s">
        <v>118</v>
      </c>
      <c r="AA128">
        <v>119.4</v>
      </c>
      <c r="AB128" t="s">
        <v>659</v>
      </c>
      <c r="AC128">
        <v>16</v>
      </c>
      <c r="AD128">
        <v>59.2</v>
      </c>
      <c r="AE128" t="s">
        <v>760</v>
      </c>
      <c r="AF128">
        <v>164.6</v>
      </c>
      <c r="AG128">
        <v>10</v>
      </c>
      <c r="AH128">
        <v>59.45082001116554</v>
      </c>
      <c r="AI128" t="s">
        <v>761</v>
      </c>
      <c r="AJ128" t="s">
        <v>74</v>
      </c>
      <c r="AK128">
        <v>0.73818555537899577</v>
      </c>
      <c r="AL128">
        <v>0.17297919065711917</v>
      </c>
      <c r="AM128">
        <v>26</v>
      </c>
      <c r="AN128">
        <v>1</v>
      </c>
      <c r="AO128">
        <v>0.41590767083226438</v>
      </c>
      <c r="AP128">
        <v>1.7748784337202237</v>
      </c>
      <c r="AQ128">
        <v>-7.6978500346182255E-2</v>
      </c>
      <c r="AR128">
        <v>1.5533496111041738</v>
      </c>
      <c r="AS128">
        <v>2240</v>
      </c>
      <c r="AT128" t="s">
        <v>95</v>
      </c>
      <c r="AU128" t="s">
        <v>60</v>
      </c>
      <c r="AV128" t="s">
        <v>96</v>
      </c>
      <c r="AW128" t="s">
        <v>74</v>
      </c>
      <c r="AX128" t="s">
        <v>74</v>
      </c>
      <c r="AY128" t="s">
        <v>96</v>
      </c>
    </row>
    <row r="129" spans="1:51" x14ac:dyDescent="0.75">
      <c r="A129" t="s">
        <v>762</v>
      </c>
      <c r="B129" t="s">
        <v>52</v>
      </c>
      <c r="C129" t="s">
        <v>53</v>
      </c>
      <c r="D129" t="s">
        <v>763</v>
      </c>
      <c r="H129" t="s">
        <v>137</v>
      </c>
      <c r="P129" t="s">
        <v>158</v>
      </c>
      <c r="Q129" t="s">
        <v>63</v>
      </c>
      <c r="R129" t="s">
        <v>64</v>
      </c>
      <c r="T129" t="s">
        <v>66</v>
      </c>
      <c r="U129">
        <v>1</v>
      </c>
      <c r="V129" t="s">
        <v>91</v>
      </c>
      <c r="W129" t="s">
        <v>79</v>
      </c>
      <c r="X129" t="s">
        <v>139</v>
      </c>
      <c r="Y129" t="s">
        <v>68</v>
      </c>
      <c r="Z129" t="s">
        <v>69</v>
      </c>
      <c r="AA129">
        <v>41.9</v>
      </c>
      <c r="AB129" t="s">
        <v>455</v>
      </c>
      <c r="AC129">
        <v>19</v>
      </c>
      <c r="AD129">
        <v>20.050935140287098</v>
      </c>
      <c r="AE129" t="s">
        <v>764</v>
      </c>
      <c r="AF129">
        <v>22</v>
      </c>
      <c r="AG129">
        <v>7</v>
      </c>
      <c r="AH129">
        <v>7.9372539331937721</v>
      </c>
      <c r="AI129" t="s">
        <v>81</v>
      </c>
      <c r="AJ129" t="s">
        <v>72</v>
      </c>
      <c r="AK129">
        <v>-1.0818596340318751</v>
      </c>
      <c r="AL129">
        <v>0.21799680387658016</v>
      </c>
      <c r="AM129">
        <v>26</v>
      </c>
      <c r="AN129">
        <v>1</v>
      </c>
      <c r="AO129">
        <v>0.46690127851247115</v>
      </c>
      <c r="AP129">
        <v>-2.3171057433782076</v>
      </c>
      <c r="AQ129">
        <v>-1.9969693242520234</v>
      </c>
      <c r="AR129">
        <v>-0.16674994381172681</v>
      </c>
      <c r="AS129">
        <v>2263</v>
      </c>
      <c r="AT129" t="s">
        <v>73</v>
      </c>
      <c r="AU129" t="s">
        <v>60</v>
      </c>
      <c r="AV129" t="s">
        <v>74</v>
      </c>
      <c r="AW129" t="s">
        <v>74</v>
      </c>
      <c r="AX129" t="s">
        <v>84</v>
      </c>
      <c r="AY129" t="s">
        <v>114</v>
      </c>
    </row>
    <row r="130" spans="1:51" x14ac:dyDescent="0.75">
      <c r="A130" t="s">
        <v>765</v>
      </c>
      <c r="B130" t="s">
        <v>52</v>
      </c>
      <c r="C130" t="s">
        <v>53</v>
      </c>
      <c r="D130" t="s">
        <v>766</v>
      </c>
      <c r="E130" t="s">
        <v>767</v>
      </c>
      <c r="H130" t="s">
        <v>101</v>
      </c>
      <c r="Q130" t="s">
        <v>768</v>
      </c>
      <c r="R130" t="s">
        <v>64</v>
      </c>
      <c r="T130" t="s">
        <v>66</v>
      </c>
      <c r="U130">
        <v>1</v>
      </c>
      <c r="V130" t="s">
        <v>91</v>
      </c>
      <c r="W130" t="s">
        <v>79</v>
      </c>
      <c r="X130" t="s">
        <v>80</v>
      </c>
      <c r="Y130" t="s">
        <v>68</v>
      </c>
      <c r="Z130" t="s">
        <v>177</v>
      </c>
      <c r="AA130">
        <v>68.319999999999993</v>
      </c>
      <c r="AB130" t="s">
        <v>57</v>
      </c>
      <c r="AC130">
        <v>6</v>
      </c>
      <c r="AD130">
        <v>12.467902790766376</v>
      </c>
      <c r="AE130" t="s">
        <v>270</v>
      </c>
      <c r="AF130">
        <v>30.06</v>
      </c>
      <c r="AG130">
        <v>6</v>
      </c>
      <c r="AH130">
        <v>13.692647662157963</v>
      </c>
      <c r="AI130" t="s">
        <v>769</v>
      </c>
      <c r="AJ130" t="s">
        <v>74</v>
      </c>
      <c r="AK130">
        <v>-2.6960916507798172</v>
      </c>
      <c r="AL130">
        <v>0.63620459122519324</v>
      </c>
      <c r="AM130">
        <v>12</v>
      </c>
      <c r="AN130">
        <v>1</v>
      </c>
      <c r="AO130">
        <v>0.79762434217192324</v>
      </c>
      <c r="AP130">
        <v>-3.3801521696772521</v>
      </c>
      <c r="AQ130">
        <v>-4.2594066346292392</v>
      </c>
      <c r="AR130">
        <v>-1.1327766669303951</v>
      </c>
      <c r="AS130">
        <v>2288</v>
      </c>
      <c r="AT130" t="s">
        <v>73</v>
      </c>
      <c r="AU130" t="s">
        <v>60</v>
      </c>
      <c r="AV130" t="s">
        <v>74</v>
      </c>
      <c r="AW130" t="s">
        <v>74</v>
      </c>
      <c r="AX130" t="s">
        <v>84</v>
      </c>
      <c r="AY130" t="s">
        <v>97</v>
      </c>
    </row>
    <row r="131" spans="1:51" x14ac:dyDescent="0.75">
      <c r="A131" t="s">
        <v>770</v>
      </c>
      <c r="B131" t="s">
        <v>52</v>
      </c>
      <c r="C131" t="s">
        <v>53</v>
      </c>
      <c r="D131" t="s">
        <v>771</v>
      </c>
      <c r="E131" t="s">
        <v>772</v>
      </c>
      <c r="H131" t="s">
        <v>139</v>
      </c>
      <c r="I131" t="s">
        <v>59</v>
      </c>
      <c r="Q131" t="s">
        <v>63</v>
      </c>
      <c r="R131" t="s">
        <v>103</v>
      </c>
      <c r="T131" t="s">
        <v>66</v>
      </c>
      <c r="U131">
        <v>1</v>
      </c>
      <c r="V131" t="s">
        <v>91</v>
      </c>
      <c r="W131" t="s">
        <v>79</v>
      </c>
      <c r="X131" t="s">
        <v>139</v>
      </c>
      <c r="Y131" t="s">
        <v>68</v>
      </c>
      <c r="Z131" t="s">
        <v>81</v>
      </c>
      <c r="AA131">
        <v>65.33</v>
      </c>
      <c r="AB131" t="s">
        <v>81</v>
      </c>
      <c r="AC131">
        <v>3</v>
      </c>
      <c r="AD131">
        <v>15.120803550076298</v>
      </c>
      <c r="AE131" t="s">
        <v>773</v>
      </c>
      <c r="AF131">
        <v>49.33</v>
      </c>
      <c r="AG131">
        <v>3</v>
      </c>
      <c r="AH131">
        <v>17.337828583764459</v>
      </c>
      <c r="AI131" t="s">
        <v>774</v>
      </c>
      <c r="AJ131" t="s">
        <v>72</v>
      </c>
      <c r="AK131">
        <v>-0.78478215994926626</v>
      </c>
      <c r="AL131">
        <v>0.7179902532145529</v>
      </c>
      <c r="AM131">
        <v>6</v>
      </c>
      <c r="AN131">
        <v>1</v>
      </c>
      <c r="AO131">
        <v>0.84734305521114228</v>
      </c>
      <c r="AP131">
        <v>-0.92616816190664708</v>
      </c>
      <c r="AQ131">
        <v>-2.4455440307132394</v>
      </c>
      <c r="AR131">
        <v>0.87597971081470705</v>
      </c>
      <c r="AS131">
        <v>2314</v>
      </c>
      <c r="AT131" t="s">
        <v>73</v>
      </c>
      <c r="AU131" t="s">
        <v>60</v>
      </c>
      <c r="AV131" t="s">
        <v>74</v>
      </c>
      <c r="AW131" t="s">
        <v>74</v>
      </c>
      <c r="AX131" t="s">
        <v>84</v>
      </c>
      <c r="AY131" t="s">
        <v>84</v>
      </c>
    </row>
    <row r="132" spans="1:51" x14ac:dyDescent="0.75">
      <c r="A132" t="s">
        <v>775</v>
      </c>
      <c r="B132" t="s">
        <v>52</v>
      </c>
      <c r="C132" t="s">
        <v>53</v>
      </c>
      <c r="D132" t="s">
        <v>776</v>
      </c>
      <c r="E132" t="s">
        <v>777</v>
      </c>
      <c r="H132" t="s">
        <v>137</v>
      </c>
      <c r="I132" t="s">
        <v>189</v>
      </c>
      <c r="K132" t="s">
        <v>78</v>
      </c>
      <c r="P132" t="s">
        <v>747</v>
      </c>
      <c r="Q132" t="s">
        <v>63</v>
      </c>
      <c r="R132" t="s">
        <v>103</v>
      </c>
      <c r="T132" t="s">
        <v>66</v>
      </c>
      <c r="U132">
        <v>1</v>
      </c>
      <c r="V132" t="s">
        <v>67</v>
      </c>
      <c r="Y132" t="s">
        <v>68</v>
      </c>
      <c r="Z132" t="s">
        <v>69</v>
      </c>
      <c r="AA132">
        <v>23.6</v>
      </c>
      <c r="AB132" t="s">
        <v>57</v>
      </c>
      <c r="AC132">
        <v>6</v>
      </c>
      <c r="AD132">
        <v>22.731264813027888</v>
      </c>
      <c r="AE132" t="s">
        <v>778</v>
      </c>
      <c r="AF132">
        <v>64.599999999999994</v>
      </c>
      <c r="AG132">
        <v>6</v>
      </c>
      <c r="AH132">
        <v>17.489356763471889</v>
      </c>
      <c r="AI132" t="s">
        <v>779</v>
      </c>
      <c r="AJ132" t="s">
        <v>72</v>
      </c>
      <c r="AK132">
        <v>1.865475958886919</v>
      </c>
      <c r="AL132">
        <v>0.47833335638271124</v>
      </c>
      <c r="AM132">
        <v>12</v>
      </c>
      <c r="AN132">
        <v>1</v>
      </c>
      <c r="AO132">
        <v>0.69161648070495774</v>
      </c>
      <c r="AP132">
        <v>2.6972693840167863</v>
      </c>
      <c r="AQ132">
        <v>0.50993256559086064</v>
      </c>
      <c r="AR132">
        <v>3.2210193521829771</v>
      </c>
      <c r="AS132">
        <v>2316</v>
      </c>
      <c r="AT132" t="s">
        <v>95</v>
      </c>
      <c r="AU132" t="s">
        <v>60</v>
      </c>
      <c r="AV132" t="s">
        <v>74</v>
      </c>
      <c r="AW132" t="s">
        <v>74</v>
      </c>
      <c r="AX132" t="s">
        <v>96</v>
      </c>
      <c r="AY132" t="s">
        <v>114</v>
      </c>
    </row>
    <row r="133" spans="1:51" x14ac:dyDescent="0.75">
      <c r="A133" t="s">
        <v>780</v>
      </c>
      <c r="B133" t="s">
        <v>52</v>
      </c>
      <c r="C133" t="s">
        <v>53</v>
      </c>
      <c r="D133" t="s">
        <v>781</v>
      </c>
      <c r="E133" t="s">
        <v>782</v>
      </c>
      <c r="F133" t="s">
        <v>56</v>
      </c>
      <c r="G133" t="s">
        <v>78</v>
      </c>
      <c r="H133" t="s">
        <v>128</v>
      </c>
      <c r="I133" t="s">
        <v>189</v>
      </c>
      <c r="P133" t="s">
        <v>374</v>
      </c>
      <c r="Q133" t="s">
        <v>63</v>
      </c>
      <c r="R133" t="s">
        <v>64</v>
      </c>
      <c r="T133" t="s">
        <v>66</v>
      </c>
      <c r="U133">
        <v>1</v>
      </c>
      <c r="W133" t="s">
        <v>79</v>
      </c>
      <c r="X133" t="s">
        <v>393</v>
      </c>
      <c r="Y133" t="s">
        <v>68</v>
      </c>
      <c r="Z133" t="s">
        <v>69</v>
      </c>
      <c r="AA133">
        <v>49.83</v>
      </c>
      <c r="AB133" t="s">
        <v>57</v>
      </c>
      <c r="AC133">
        <v>6</v>
      </c>
      <c r="AD133">
        <v>5.119433562416841</v>
      </c>
      <c r="AE133" t="s">
        <v>783</v>
      </c>
      <c r="AF133">
        <v>127.33</v>
      </c>
      <c r="AG133">
        <v>6</v>
      </c>
      <c r="AH133">
        <v>19.203999583420114</v>
      </c>
      <c r="AI133" t="s">
        <v>784</v>
      </c>
      <c r="AJ133" t="s">
        <v>72</v>
      </c>
      <c r="AK133">
        <v>5.0886072210400615</v>
      </c>
      <c r="AL133">
        <v>1.4122468104175439</v>
      </c>
      <c r="AM133">
        <v>12</v>
      </c>
      <c r="AN133">
        <v>1</v>
      </c>
      <c r="AO133">
        <v>1.1883799099688381</v>
      </c>
      <c r="AP133">
        <v>4.2819700824238067</v>
      </c>
      <c r="AQ133">
        <v>2.7594253975501872</v>
      </c>
      <c r="AR133">
        <v>7.4177890445299361</v>
      </c>
      <c r="AS133">
        <v>2330</v>
      </c>
      <c r="AT133" t="s">
        <v>95</v>
      </c>
      <c r="AU133" t="s">
        <v>60</v>
      </c>
      <c r="AV133" t="s">
        <v>74</v>
      </c>
      <c r="AW133" t="s">
        <v>74</v>
      </c>
      <c r="AX133" t="s">
        <v>96</v>
      </c>
      <c r="AY133" t="s">
        <v>96</v>
      </c>
    </row>
    <row r="134" spans="1:51" x14ac:dyDescent="0.75">
      <c r="A134" t="s">
        <v>785</v>
      </c>
      <c r="B134" t="s">
        <v>52</v>
      </c>
      <c r="C134" t="s">
        <v>53</v>
      </c>
      <c r="D134" t="s">
        <v>786</v>
      </c>
      <c r="E134" t="s">
        <v>787</v>
      </c>
      <c r="H134" t="s">
        <v>119</v>
      </c>
      <c r="P134" t="s">
        <v>428</v>
      </c>
      <c r="Q134" t="s">
        <v>63</v>
      </c>
      <c r="R134" t="s">
        <v>103</v>
      </c>
      <c r="T134" t="s">
        <v>66</v>
      </c>
      <c r="U134">
        <v>1</v>
      </c>
      <c r="V134" t="s">
        <v>91</v>
      </c>
      <c r="Y134" t="s">
        <v>68</v>
      </c>
      <c r="Z134" t="s">
        <v>69</v>
      </c>
      <c r="AA134">
        <v>106.67</v>
      </c>
      <c r="AB134" t="s">
        <v>69</v>
      </c>
      <c r="AC134">
        <v>5</v>
      </c>
      <c r="AD134">
        <v>10.01758453919906</v>
      </c>
      <c r="AE134" t="s">
        <v>788</v>
      </c>
      <c r="AF134">
        <v>30.5</v>
      </c>
      <c r="AG134">
        <v>5</v>
      </c>
      <c r="AH134">
        <v>29.426654583897236</v>
      </c>
      <c r="AI134" t="s">
        <v>789</v>
      </c>
      <c r="AJ134" t="s">
        <v>72</v>
      </c>
      <c r="AK134">
        <v>-3.1281855417593549</v>
      </c>
      <c r="AL134">
        <v>0.88927723918361345</v>
      </c>
      <c r="AM134">
        <v>10</v>
      </c>
      <c r="AN134">
        <v>1</v>
      </c>
      <c r="AO134">
        <v>0.94301497293712866</v>
      </c>
      <c r="AP134">
        <v>-3.3172172569182661</v>
      </c>
      <c r="AQ134">
        <v>-4.9764609255981407</v>
      </c>
      <c r="AR134">
        <v>-1.2799101579205692</v>
      </c>
      <c r="AS134">
        <v>2375</v>
      </c>
      <c r="AT134" t="s">
        <v>73</v>
      </c>
      <c r="AU134" t="s">
        <v>60</v>
      </c>
      <c r="AV134" t="s">
        <v>74</v>
      </c>
      <c r="AW134" t="s">
        <v>74</v>
      </c>
      <c r="AX134" t="s">
        <v>84</v>
      </c>
      <c r="AY134" t="s">
        <v>74</v>
      </c>
    </row>
    <row r="135" spans="1:51" x14ac:dyDescent="0.75">
      <c r="A135" t="s">
        <v>790</v>
      </c>
      <c r="B135" t="s">
        <v>52</v>
      </c>
      <c r="C135" t="s">
        <v>53</v>
      </c>
      <c r="D135" t="s">
        <v>791</v>
      </c>
      <c r="P135" t="s">
        <v>250</v>
      </c>
      <c r="Q135" t="s">
        <v>63</v>
      </c>
      <c r="T135" t="s">
        <v>66</v>
      </c>
      <c r="U135">
        <v>1</v>
      </c>
      <c r="W135" t="s">
        <v>79</v>
      </c>
      <c r="X135" t="s">
        <v>80</v>
      </c>
      <c r="Y135" t="s">
        <v>68</v>
      </c>
      <c r="Z135" t="s">
        <v>69</v>
      </c>
      <c r="AA135">
        <v>74.91</v>
      </c>
      <c r="AB135" t="s">
        <v>57</v>
      </c>
      <c r="AC135">
        <v>6</v>
      </c>
      <c r="AD135">
        <v>11.586086483364442</v>
      </c>
      <c r="AE135" t="s">
        <v>792</v>
      </c>
      <c r="AF135">
        <v>97.09</v>
      </c>
      <c r="AG135">
        <v>6</v>
      </c>
      <c r="AH135">
        <v>11.586086483364406</v>
      </c>
      <c r="AI135" t="s">
        <v>793</v>
      </c>
      <c r="AJ135" t="s">
        <v>72</v>
      </c>
      <c r="AK135">
        <v>1.7664720193487038</v>
      </c>
      <c r="AL135">
        <v>0.46335097479757859</v>
      </c>
      <c r="AM135">
        <v>12</v>
      </c>
      <c r="AN135">
        <v>1</v>
      </c>
      <c r="AO135">
        <v>0.68069888702537085</v>
      </c>
      <c r="AP135">
        <v>2.595085805220164</v>
      </c>
      <c r="AQ135">
        <v>0.432326716462478</v>
      </c>
      <c r="AR135">
        <v>3.1006173222349296</v>
      </c>
      <c r="AS135">
        <v>2385</v>
      </c>
      <c r="AT135" t="s">
        <v>95</v>
      </c>
      <c r="AU135" t="s">
        <v>60</v>
      </c>
      <c r="AV135" t="s">
        <v>74</v>
      </c>
      <c r="AW135" t="s">
        <v>74</v>
      </c>
      <c r="AX135" t="s">
        <v>96</v>
      </c>
      <c r="AY135" t="s">
        <v>114</v>
      </c>
    </row>
    <row r="136" spans="1:51" x14ac:dyDescent="0.75">
      <c r="A136" t="s">
        <v>794</v>
      </c>
      <c r="B136" t="s">
        <v>52</v>
      </c>
      <c r="C136" t="s">
        <v>53</v>
      </c>
      <c r="D136" t="s">
        <v>795</v>
      </c>
      <c r="E136" t="s">
        <v>796</v>
      </c>
      <c r="P136" t="s">
        <v>158</v>
      </c>
      <c r="Q136" t="s">
        <v>63</v>
      </c>
      <c r="R136" t="s">
        <v>64</v>
      </c>
      <c r="T136" t="s">
        <v>66</v>
      </c>
      <c r="U136">
        <v>1</v>
      </c>
      <c r="V136" t="s">
        <v>91</v>
      </c>
      <c r="Y136" t="s">
        <v>68</v>
      </c>
      <c r="AA136">
        <v>52.6</v>
      </c>
      <c r="AB136" t="s">
        <v>308</v>
      </c>
      <c r="AC136">
        <v>11</v>
      </c>
      <c r="AD136">
        <v>29.18629815512752</v>
      </c>
      <c r="AE136" t="s">
        <v>654</v>
      </c>
      <c r="AF136">
        <v>55.3</v>
      </c>
      <c r="AG136">
        <v>6</v>
      </c>
      <c r="AH136">
        <v>15.43178537953402</v>
      </c>
      <c r="AI136" t="s">
        <v>724</v>
      </c>
      <c r="AJ136" t="s">
        <v>72</v>
      </c>
      <c r="AK136">
        <v>0.10071394114557748</v>
      </c>
      <c r="AL136">
        <v>0.25787408986814214</v>
      </c>
      <c r="AM136">
        <v>17</v>
      </c>
      <c r="AN136">
        <v>1</v>
      </c>
      <c r="AO136">
        <v>0.50781304617756928</v>
      </c>
      <c r="AP136">
        <v>0.19832877848191474</v>
      </c>
      <c r="AQ136">
        <v>-0.89458134024203351</v>
      </c>
      <c r="AR136">
        <v>1.0960092225331886</v>
      </c>
      <c r="AS136">
        <v>2393</v>
      </c>
      <c r="AT136" t="s">
        <v>95</v>
      </c>
      <c r="AU136" t="s">
        <v>60</v>
      </c>
      <c r="AV136" t="s">
        <v>96</v>
      </c>
      <c r="AW136" t="s">
        <v>74</v>
      </c>
      <c r="AX136" t="s">
        <v>74</v>
      </c>
      <c r="AY136" t="s">
        <v>114</v>
      </c>
    </row>
    <row r="137" spans="1:51" x14ac:dyDescent="0.75">
      <c r="A137" t="s">
        <v>797</v>
      </c>
      <c r="B137" t="s">
        <v>52</v>
      </c>
      <c r="C137" t="s">
        <v>53</v>
      </c>
      <c r="D137" t="s">
        <v>798</v>
      </c>
      <c r="E137" t="s">
        <v>799</v>
      </c>
      <c r="Q137" t="s">
        <v>63</v>
      </c>
      <c r="R137" t="s">
        <v>64</v>
      </c>
      <c r="T137" t="s">
        <v>66</v>
      </c>
      <c r="U137">
        <v>1</v>
      </c>
      <c r="Y137" t="s">
        <v>68</v>
      </c>
      <c r="Z137" t="s">
        <v>69</v>
      </c>
      <c r="AA137">
        <v>64</v>
      </c>
      <c r="AB137" t="s">
        <v>57</v>
      </c>
      <c r="AC137">
        <v>6</v>
      </c>
      <c r="AD137">
        <v>12.296438508771551</v>
      </c>
      <c r="AE137" t="s">
        <v>800</v>
      </c>
      <c r="AF137">
        <v>7.33</v>
      </c>
      <c r="AG137">
        <v>6</v>
      </c>
      <c r="AH137">
        <v>7.8138722794783373</v>
      </c>
      <c r="AI137" t="s">
        <v>801</v>
      </c>
      <c r="AJ137" t="s">
        <v>72</v>
      </c>
      <c r="AK137">
        <v>-5.075947719185657</v>
      </c>
      <c r="AL137">
        <v>1.406885218662753</v>
      </c>
      <c r="AM137">
        <v>12</v>
      </c>
      <c r="AN137">
        <v>1</v>
      </c>
      <c r="AO137">
        <v>1.1861219240292091</v>
      </c>
      <c r="AP137">
        <v>-4.2794485257829686</v>
      </c>
      <c r="AQ137">
        <v>-7.4007039715562613</v>
      </c>
      <c r="AR137">
        <v>-2.7511914668150532</v>
      </c>
      <c r="AS137">
        <v>2404</v>
      </c>
      <c r="AT137" t="s">
        <v>73</v>
      </c>
      <c r="AU137" t="s">
        <v>60</v>
      </c>
      <c r="AV137" t="s">
        <v>74</v>
      </c>
      <c r="AW137" t="s">
        <v>74</v>
      </c>
      <c r="AX137" t="s">
        <v>84</v>
      </c>
      <c r="AY137" t="s">
        <v>97</v>
      </c>
    </row>
    <row r="138" spans="1:51" x14ac:dyDescent="0.75">
      <c r="A138" t="s">
        <v>802</v>
      </c>
      <c r="B138" t="s">
        <v>52</v>
      </c>
      <c r="C138" t="s">
        <v>53</v>
      </c>
      <c r="D138" t="s">
        <v>803</v>
      </c>
      <c r="E138" t="s">
        <v>804</v>
      </c>
      <c r="H138" t="s">
        <v>299</v>
      </c>
      <c r="I138" t="s">
        <v>189</v>
      </c>
      <c r="Q138" t="s">
        <v>320</v>
      </c>
      <c r="R138" t="s">
        <v>103</v>
      </c>
      <c r="T138" t="s">
        <v>66</v>
      </c>
      <c r="U138">
        <v>2</v>
      </c>
      <c r="V138" t="s">
        <v>91</v>
      </c>
      <c r="W138" t="s">
        <v>79</v>
      </c>
      <c r="X138" t="s">
        <v>139</v>
      </c>
      <c r="Y138" t="s">
        <v>68</v>
      </c>
      <c r="Z138" t="s">
        <v>69</v>
      </c>
      <c r="AA138">
        <v>101.16</v>
      </c>
      <c r="AB138" t="s">
        <v>57</v>
      </c>
      <c r="AC138">
        <v>6</v>
      </c>
      <c r="AD138">
        <v>3.1108519733346358</v>
      </c>
      <c r="AE138" t="s">
        <v>640</v>
      </c>
      <c r="AF138">
        <v>210.5</v>
      </c>
      <c r="AG138">
        <v>6</v>
      </c>
      <c r="AH138">
        <v>5.3888774341229917</v>
      </c>
      <c r="AI138" t="s">
        <v>805</v>
      </c>
      <c r="AJ138" t="s">
        <v>74</v>
      </c>
      <c r="AK138">
        <v>22.930998267097394</v>
      </c>
      <c r="AL138">
        <v>22.242945063567653</v>
      </c>
      <c r="AM138">
        <v>12</v>
      </c>
      <c r="AN138">
        <v>1</v>
      </c>
      <c r="AO138">
        <v>4.7162426849736701</v>
      </c>
      <c r="AP138">
        <v>4.862132803334613</v>
      </c>
      <c r="AQ138">
        <v>13.687332462198517</v>
      </c>
      <c r="AR138">
        <v>32.174664071996268</v>
      </c>
      <c r="AS138">
        <v>2425</v>
      </c>
      <c r="AT138" t="s">
        <v>95</v>
      </c>
      <c r="AU138" t="s">
        <v>60</v>
      </c>
      <c r="AV138" t="s">
        <v>74</v>
      </c>
      <c r="AW138" t="s">
        <v>74</v>
      </c>
      <c r="AX138" t="s">
        <v>96</v>
      </c>
      <c r="AY138" t="s">
        <v>96</v>
      </c>
    </row>
    <row r="139" spans="1:51" x14ac:dyDescent="0.75">
      <c r="A139" t="s">
        <v>806</v>
      </c>
      <c r="B139" t="s">
        <v>52</v>
      </c>
      <c r="C139" t="s">
        <v>53</v>
      </c>
      <c r="D139" t="s">
        <v>807</v>
      </c>
      <c r="Q139" t="s">
        <v>753</v>
      </c>
      <c r="R139" t="s">
        <v>103</v>
      </c>
      <c r="T139" t="s">
        <v>66</v>
      </c>
      <c r="U139">
        <v>2</v>
      </c>
      <c r="V139" t="s">
        <v>91</v>
      </c>
      <c r="Y139" t="s">
        <v>68</v>
      </c>
      <c r="AA139">
        <v>55.05</v>
      </c>
      <c r="AB139" t="s">
        <v>57</v>
      </c>
      <c r="AC139">
        <v>6</v>
      </c>
      <c r="AD139">
        <v>14.45198948242075</v>
      </c>
      <c r="AE139" t="s">
        <v>808</v>
      </c>
      <c r="AF139">
        <v>40.299999999999997</v>
      </c>
      <c r="AG139">
        <v>6</v>
      </c>
      <c r="AH139">
        <v>13.34971909816832</v>
      </c>
      <c r="AI139" t="s">
        <v>809</v>
      </c>
      <c r="AJ139" t="s">
        <v>753</v>
      </c>
      <c r="AK139">
        <v>-0.97834367964542734</v>
      </c>
      <c r="AL139">
        <v>0.37321484814592309</v>
      </c>
      <c r="AM139">
        <v>12</v>
      </c>
      <c r="AN139">
        <v>1</v>
      </c>
      <c r="AO139">
        <v>0.61091312651302809</v>
      </c>
      <c r="AP139">
        <v>-1.6014448490076167</v>
      </c>
      <c r="AQ139">
        <v>-2.1757114052937241</v>
      </c>
      <c r="AR139">
        <v>0.21902404600286929</v>
      </c>
      <c r="AS139">
        <v>2430</v>
      </c>
      <c r="AT139" t="s">
        <v>73</v>
      </c>
      <c r="AU139" t="s">
        <v>60</v>
      </c>
      <c r="AV139" t="s">
        <v>74</v>
      </c>
      <c r="AW139" t="s">
        <v>74</v>
      </c>
      <c r="AX139" t="s">
        <v>84</v>
      </c>
      <c r="AY139" t="s">
        <v>97</v>
      </c>
    </row>
    <row r="140" spans="1:51" x14ac:dyDescent="0.75">
      <c r="A140" t="s">
        <v>810</v>
      </c>
      <c r="B140" t="s">
        <v>52</v>
      </c>
      <c r="C140" t="s">
        <v>53</v>
      </c>
      <c r="D140" t="s">
        <v>811</v>
      </c>
      <c r="E140" t="s">
        <v>267</v>
      </c>
      <c r="H140" t="s">
        <v>119</v>
      </c>
      <c r="I140" t="s">
        <v>80</v>
      </c>
      <c r="Q140" t="s">
        <v>307</v>
      </c>
      <c r="R140" t="s">
        <v>64</v>
      </c>
      <c r="T140" t="s">
        <v>66</v>
      </c>
      <c r="U140">
        <v>2</v>
      </c>
      <c r="V140" t="s">
        <v>91</v>
      </c>
      <c r="W140" t="s">
        <v>79</v>
      </c>
      <c r="X140" t="s">
        <v>139</v>
      </c>
      <c r="Y140" t="s">
        <v>68</v>
      </c>
      <c r="Z140" t="s">
        <v>69</v>
      </c>
      <c r="AA140">
        <v>145.66999999999999</v>
      </c>
      <c r="AB140" t="s">
        <v>65</v>
      </c>
      <c r="AC140">
        <v>8</v>
      </c>
      <c r="AD140">
        <v>11.539982668964457</v>
      </c>
      <c r="AE140" t="s">
        <v>269</v>
      </c>
      <c r="AF140">
        <v>205.23</v>
      </c>
      <c r="AG140">
        <v>8</v>
      </c>
      <c r="AH140">
        <v>14.396694064958108</v>
      </c>
      <c r="AI140" t="s">
        <v>270</v>
      </c>
      <c r="AJ140" t="s">
        <v>74</v>
      </c>
      <c r="AK140">
        <v>4.3153494284620146</v>
      </c>
      <c r="AL140">
        <v>0.83194502155398242</v>
      </c>
      <c r="AM140">
        <v>16</v>
      </c>
      <c r="AN140">
        <v>1</v>
      </c>
      <c r="AO140">
        <v>0.91211020252707531</v>
      </c>
      <c r="AP140">
        <v>4.731171098082215</v>
      </c>
      <c r="AQ140">
        <v>2.5276462815774128</v>
      </c>
      <c r="AR140">
        <v>6.1030525753466165</v>
      </c>
      <c r="AS140">
        <v>2467</v>
      </c>
      <c r="AT140" t="s">
        <v>95</v>
      </c>
      <c r="AU140" t="s">
        <v>60</v>
      </c>
      <c r="AV140" t="s">
        <v>74</v>
      </c>
      <c r="AW140" t="s">
        <v>74</v>
      </c>
      <c r="AX140" t="s">
        <v>96</v>
      </c>
      <c r="AY140" t="s">
        <v>96</v>
      </c>
    </row>
    <row r="141" spans="1:51" x14ac:dyDescent="0.75">
      <c r="A141" t="s">
        <v>812</v>
      </c>
      <c r="B141" t="s">
        <v>52</v>
      </c>
      <c r="C141" t="s">
        <v>53</v>
      </c>
      <c r="D141" t="s">
        <v>813</v>
      </c>
      <c r="E141" t="s">
        <v>814</v>
      </c>
      <c r="F141" t="s">
        <v>56</v>
      </c>
      <c r="H141" t="s">
        <v>137</v>
      </c>
      <c r="I141" t="s">
        <v>189</v>
      </c>
      <c r="Q141" t="s">
        <v>307</v>
      </c>
      <c r="R141" t="s">
        <v>64</v>
      </c>
      <c r="T141" t="s">
        <v>66</v>
      </c>
      <c r="U141">
        <v>0.5</v>
      </c>
      <c r="V141" t="s">
        <v>91</v>
      </c>
      <c r="W141" t="s">
        <v>79</v>
      </c>
      <c r="X141" t="s">
        <v>139</v>
      </c>
      <c r="Y141" t="s">
        <v>68</v>
      </c>
      <c r="Z141" t="s">
        <v>69</v>
      </c>
      <c r="AA141">
        <v>28.45</v>
      </c>
      <c r="AB141" t="s">
        <v>57</v>
      </c>
      <c r="AC141">
        <v>6</v>
      </c>
      <c r="AD141">
        <v>11.831035457642749</v>
      </c>
      <c r="AE141" t="s">
        <v>815</v>
      </c>
      <c r="AF141">
        <v>60.13</v>
      </c>
      <c r="AG141">
        <v>6</v>
      </c>
      <c r="AH141">
        <v>14.476484379848582</v>
      </c>
      <c r="AI141" t="s">
        <v>816</v>
      </c>
      <c r="AJ141" t="s">
        <v>74</v>
      </c>
      <c r="AK141">
        <v>2.2112226491271736</v>
      </c>
      <c r="AL141">
        <v>0.53706273350054146</v>
      </c>
      <c r="AM141">
        <v>12</v>
      </c>
      <c r="AN141">
        <v>1</v>
      </c>
      <c r="AO141">
        <v>0.73284564097805849</v>
      </c>
      <c r="AP141">
        <v>3.0173102294448633</v>
      </c>
      <c r="AQ141">
        <v>0.77487158658300825</v>
      </c>
      <c r="AR141">
        <v>3.6475737116713391</v>
      </c>
      <c r="AS141">
        <v>2483</v>
      </c>
      <c r="AT141" t="s">
        <v>95</v>
      </c>
      <c r="AU141" t="s">
        <v>60</v>
      </c>
      <c r="AV141" t="s">
        <v>96</v>
      </c>
      <c r="AW141" t="s">
        <v>60</v>
      </c>
      <c r="AX141" t="s">
        <v>96</v>
      </c>
      <c r="AY141" t="s">
        <v>114</v>
      </c>
    </row>
    <row r="142" spans="1:51" x14ac:dyDescent="0.75">
      <c r="A142" t="s">
        <v>817</v>
      </c>
      <c r="B142" t="s">
        <v>52</v>
      </c>
      <c r="C142" t="s">
        <v>53</v>
      </c>
      <c r="D142" t="s">
        <v>818</v>
      </c>
      <c r="E142" t="s">
        <v>237</v>
      </c>
      <c r="F142" t="s">
        <v>56</v>
      </c>
      <c r="G142" t="s">
        <v>69</v>
      </c>
      <c r="H142" t="s">
        <v>92</v>
      </c>
      <c r="Q142" t="s">
        <v>819</v>
      </c>
      <c r="R142" t="s">
        <v>64</v>
      </c>
      <c r="T142" t="s">
        <v>66</v>
      </c>
      <c r="U142">
        <v>1.5</v>
      </c>
      <c r="V142" t="s">
        <v>67</v>
      </c>
      <c r="W142" t="s">
        <v>79</v>
      </c>
      <c r="X142" t="s">
        <v>80</v>
      </c>
      <c r="Y142" t="s">
        <v>68</v>
      </c>
      <c r="AA142">
        <v>64.599999999999994</v>
      </c>
      <c r="AB142" t="s">
        <v>65</v>
      </c>
      <c r="AC142">
        <v>8</v>
      </c>
      <c r="AD142">
        <v>22.627416997969522</v>
      </c>
      <c r="AE142" t="s">
        <v>65</v>
      </c>
      <c r="AF142">
        <v>55.6</v>
      </c>
      <c r="AG142">
        <v>8</v>
      </c>
      <c r="AH142">
        <v>21.213203435596427</v>
      </c>
      <c r="AI142" t="s">
        <v>820</v>
      </c>
      <c r="AJ142" t="s">
        <v>239</v>
      </c>
      <c r="AK142">
        <v>-0.38791269401986095</v>
      </c>
      <c r="AL142">
        <v>0.25470238306817955</v>
      </c>
      <c r="AM142">
        <v>16</v>
      </c>
      <c r="AN142">
        <v>1</v>
      </c>
      <c r="AO142">
        <v>0.5046804762106214</v>
      </c>
      <c r="AP142">
        <v>-0.76863027659102656</v>
      </c>
      <c r="AQ142">
        <v>-1.3770682510932022</v>
      </c>
      <c r="AR142">
        <v>0.6012428630534804</v>
      </c>
      <c r="AS142">
        <v>2494</v>
      </c>
      <c r="AT142" t="s">
        <v>73</v>
      </c>
      <c r="AU142" t="s">
        <v>60</v>
      </c>
      <c r="AV142" t="s">
        <v>74</v>
      </c>
      <c r="AW142" t="s">
        <v>74</v>
      </c>
      <c r="AX142" t="s">
        <v>74</v>
      </c>
      <c r="AY142" t="s">
        <v>84</v>
      </c>
    </row>
    <row r="143" spans="1:51" x14ac:dyDescent="0.75">
      <c r="A143" t="s">
        <v>821</v>
      </c>
      <c r="B143" t="s">
        <v>52</v>
      </c>
      <c r="C143" t="s">
        <v>53</v>
      </c>
      <c r="D143" t="s">
        <v>822</v>
      </c>
      <c r="E143" t="s">
        <v>823</v>
      </c>
      <c r="H143" t="s">
        <v>137</v>
      </c>
      <c r="I143" t="s">
        <v>824</v>
      </c>
      <c r="Q143" t="s">
        <v>307</v>
      </c>
      <c r="R143" t="s">
        <v>103</v>
      </c>
      <c r="T143" t="s">
        <v>66</v>
      </c>
      <c r="U143">
        <v>1</v>
      </c>
      <c r="V143" t="s">
        <v>91</v>
      </c>
      <c r="Y143" t="s">
        <v>68</v>
      </c>
      <c r="Z143" t="s">
        <v>81</v>
      </c>
      <c r="AA143">
        <v>63.34</v>
      </c>
      <c r="AB143" t="s">
        <v>69</v>
      </c>
      <c r="AC143">
        <v>5</v>
      </c>
      <c r="AD143">
        <v>7.311942286424304</v>
      </c>
      <c r="AE143" t="s">
        <v>825</v>
      </c>
      <c r="AF143">
        <v>17.239999999999998</v>
      </c>
      <c r="AG143">
        <v>5</v>
      </c>
      <c r="AH143">
        <v>4.874628190949549</v>
      </c>
      <c r="AI143" t="s">
        <v>826</v>
      </c>
      <c r="AJ143" t="s">
        <v>74</v>
      </c>
      <c r="AK143">
        <v>-6.6969613616817449</v>
      </c>
      <c r="AL143">
        <v>2.6424645739929105</v>
      </c>
      <c r="AM143">
        <v>10</v>
      </c>
      <c r="AN143">
        <v>1</v>
      </c>
      <c r="AO143">
        <v>1.6255659242223646</v>
      </c>
      <c r="AP143">
        <v>-4.1197722355587798</v>
      </c>
      <c r="AQ143">
        <v>-9.8830120276531463</v>
      </c>
      <c r="AR143">
        <v>-3.510910695710344</v>
      </c>
      <c r="AS143">
        <v>2496</v>
      </c>
      <c r="AT143" t="s">
        <v>73</v>
      </c>
      <c r="AU143" t="s">
        <v>60</v>
      </c>
      <c r="AV143" t="s">
        <v>74</v>
      </c>
      <c r="AW143" t="s">
        <v>74</v>
      </c>
      <c r="AX143" t="s">
        <v>84</v>
      </c>
      <c r="AY143" t="s">
        <v>97</v>
      </c>
    </row>
    <row r="144" spans="1:51" x14ac:dyDescent="0.75">
      <c r="A144" t="s">
        <v>827</v>
      </c>
      <c r="B144" t="s">
        <v>52</v>
      </c>
      <c r="C144" t="s">
        <v>53</v>
      </c>
      <c r="D144" t="s">
        <v>828</v>
      </c>
      <c r="E144" t="s">
        <v>829</v>
      </c>
      <c r="K144" t="s">
        <v>78</v>
      </c>
      <c r="P144" t="s">
        <v>830</v>
      </c>
      <c r="Q144" t="s">
        <v>63</v>
      </c>
      <c r="T144" t="s">
        <v>66</v>
      </c>
      <c r="U144">
        <v>1</v>
      </c>
      <c r="W144" t="s">
        <v>79</v>
      </c>
      <c r="X144" t="s">
        <v>80</v>
      </c>
      <c r="Y144" t="s">
        <v>68</v>
      </c>
      <c r="Z144" t="s">
        <v>81</v>
      </c>
      <c r="AA144">
        <v>26.81</v>
      </c>
      <c r="AB144" t="s">
        <v>69</v>
      </c>
      <c r="AC144">
        <v>5</v>
      </c>
      <c r="AD144">
        <v>9.7045350223490878</v>
      </c>
      <c r="AE144" t="s">
        <v>831</v>
      </c>
      <c r="AF144">
        <v>23.42</v>
      </c>
      <c r="AG144">
        <v>8</v>
      </c>
      <c r="AH144">
        <v>9.5883679528895858</v>
      </c>
      <c r="AI144" t="s">
        <v>832</v>
      </c>
      <c r="AJ144" t="s">
        <v>72</v>
      </c>
      <c r="AK144">
        <v>-0.32734276580815097</v>
      </c>
      <c r="AL144">
        <v>0.32912128024334347</v>
      </c>
      <c r="AM144">
        <v>13</v>
      </c>
      <c r="AN144">
        <v>1</v>
      </c>
      <c r="AO144">
        <v>0.57369092745427264</v>
      </c>
      <c r="AP144">
        <v>-0.57059080097487258</v>
      </c>
      <c r="AQ144">
        <v>-1.451756321875906</v>
      </c>
      <c r="AR144">
        <v>0.79707079025960414</v>
      </c>
      <c r="AS144">
        <v>280</v>
      </c>
      <c r="AT144" t="s">
        <v>73</v>
      </c>
      <c r="AU144" t="s">
        <v>60</v>
      </c>
      <c r="AV144" t="s">
        <v>84</v>
      </c>
      <c r="AW144" t="s">
        <v>74</v>
      </c>
      <c r="AX144" t="s">
        <v>84</v>
      </c>
      <c r="AY144" t="s">
        <v>74</v>
      </c>
    </row>
    <row r="145" spans="1:51" x14ac:dyDescent="0.75">
      <c r="A145" t="s">
        <v>833</v>
      </c>
      <c r="B145" t="s">
        <v>834</v>
      </c>
      <c r="C145" t="s">
        <v>835</v>
      </c>
      <c r="D145" t="s">
        <v>836</v>
      </c>
      <c r="E145" t="s">
        <v>601</v>
      </c>
      <c r="F145" t="s">
        <v>56</v>
      </c>
      <c r="G145" t="s">
        <v>57</v>
      </c>
      <c r="H145" t="s">
        <v>119</v>
      </c>
      <c r="L145" t="s">
        <v>60</v>
      </c>
      <c r="Q145" t="s">
        <v>293</v>
      </c>
      <c r="R145" t="s">
        <v>64</v>
      </c>
      <c r="T145" t="s">
        <v>66</v>
      </c>
      <c r="U145">
        <v>1</v>
      </c>
      <c r="V145" t="s">
        <v>91</v>
      </c>
      <c r="Y145" t="s">
        <v>68</v>
      </c>
      <c r="Z145" t="s">
        <v>69</v>
      </c>
      <c r="AA145">
        <v>12.8</v>
      </c>
      <c r="AB145" t="s">
        <v>57</v>
      </c>
      <c r="AC145">
        <v>6</v>
      </c>
      <c r="AD145">
        <v>10.532805893967664</v>
      </c>
      <c r="AE145" t="s">
        <v>160</v>
      </c>
      <c r="AF145">
        <v>24.8</v>
      </c>
      <c r="AG145">
        <v>6</v>
      </c>
      <c r="AH145">
        <v>12.24744871391589</v>
      </c>
      <c r="AI145" t="s">
        <v>69</v>
      </c>
      <c r="AJ145" t="s">
        <v>293</v>
      </c>
      <c r="AK145">
        <v>0.96941090678898312</v>
      </c>
      <c r="AL145">
        <v>0.37248989609172656</v>
      </c>
      <c r="AM145">
        <v>12</v>
      </c>
      <c r="AN145">
        <v>1</v>
      </c>
      <c r="AO145">
        <v>0.61031950328637419</v>
      </c>
      <c r="AP145">
        <v>1.5883662599163508</v>
      </c>
      <c r="AQ145">
        <v>-0.22679333871468521</v>
      </c>
      <c r="AR145">
        <v>2.1656151522926512</v>
      </c>
      <c r="AS145">
        <v>59</v>
      </c>
      <c r="AT145" t="s">
        <v>95</v>
      </c>
      <c r="AU145" t="s">
        <v>60</v>
      </c>
      <c r="AV145" t="s">
        <v>96</v>
      </c>
      <c r="AW145" t="s">
        <v>60</v>
      </c>
      <c r="AX145" t="s">
        <v>96</v>
      </c>
      <c r="AY145" t="s">
        <v>837</v>
      </c>
    </row>
    <row r="146" spans="1:51" x14ac:dyDescent="0.75">
      <c r="A146" t="s">
        <v>838</v>
      </c>
      <c r="B146" t="s">
        <v>834</v>
      </c>
      <c r="C146" t="s">
        <v>835</v>
      </c>
      <c r="D146" t="s">
        <v>86</v>
      </c>
      <c r="E146" t="s">
        <v>87</v>
      </c>
      <c r="F146" t="s">
        <v>56</v>
      </c>
      <c r="G146" t="s">
        <v>81</v>
      </c>
      <c r="H146" t="s">
        <v>88</v>
      </c>
      <c r="I146" t="s">
        <v>80</v>
      </c>
      <c r="L146" t="s">
        <v>60</v>
      </c>
      <c r="P146" t="s">
        <v>89</v>
      </c>
      <c r="Q146" t="s">
        <v>90</v>
      </c>
      <c r="R146" t="s">
        <v>64</v>
      </c>
      <c r="T146" t="s">
        <v>66</v>
      </c>
      <c r="U146">
        <v>0.5</v>
      </c>
      <c r="V146" t="s">
        <v>91</v>
      </c>
      <c r="W146" t="s">
        <v>79</v>
      </c>
      <c r="X146" t="s">
        <v>92</v>
      </c>
      <c r="Y146" t="s">
        <v>68</v>
      </c>
      <c r="Z146" t="s">
        <v>51</v>
      </c>
      <c r="AA146">
        <v>65.41</v>
      </c>
      <c r="AB146" t="s">
        <v>65</v>
      </c>
      <c r="AC146">
        <v>8</v>
      </c>
      <c r="AD146">
        <v>14.622968234937803</v>
      </c>
      <c r="AE146" t="s">
        <v>839</v>
      </c>
      <c r="AF146">
        <v>81.88</v>
      </c>
      <c r="AG146">
        <v>8</v>
      </c>
      <c r="AH146">
        <v>19.28987299076902</v>
      </c>
      <c r="AI146" t="s">
        <v>840</v>
      </c>
      <c r="AJ146" t="s">
        <v>74</v>
      </c>
      <c r="AK146">
        <v>0.90959821995510459</v>
      </c>
      <c r="AL146">
        <v>0.27585527880454669</v>
      </c>
      <c r="AM146">
        <v>16</v>
      </c>
      <c r="AN146">
        <v>1</v>
      </c>
      <c r="AO146">
        <v>0.5252192673584497</v>
      </c>
      <c r="AP146">
        <v>1.7318447294019879</v>
      </c>
      <c r="AQ146">
        <v>-0.1198126280539703</v>
      </c>
      <c r="AR146">
        <v>1.9390090679641796</v>
      </c>
      <c r="AS146">
        <v>62</v>
      </c>
      <c r="AT146" t="s">
        <v>95</v>
      </c>
      <c r="AU146" t="s">
        <v>60</v>
      </c>
      <c r="AV146" t="s">
        <v>74</v>
      </c>
      <c r="AW146" t="s">
        <v>60</v>
      </c>
      <c r="AX146" t="s">
        <v>96</v>
      </c>
      <c r="AY146" t="s">
        <v>837</v>
      </c>
    </row>
    <row r="147" spans="1:51" x14ac:dyDescent="0.75">
      <c r="A147" t="s">
        <v>841</v>
      </c>
      <c r="B147" t="s">
        <v>834</v>
      </c>
      <c r="C147" t="s">
        <v>835</v>
      </c>
      <c r="D147" t="s">
        <v>842</v>
      </c>
      <c r="E147" t="s">
        <v>843</v>
      </c>
      <c r="F147" t="s">
        <v>56</v>
      </c>
      <c r="G147" t="s">
        <v>69</v>
      </c>
      <c r="H147" t="s">
        <v>137</v>
      </c>
      <c r="I147" t="s">
        <v>189</v>
      </c>
      <c r="Q147" t="s">
        <v>844</v>
      </c>
      <c r="S147" t="s">
        <v>51</v>
      </c>
      <c r="T147" t="s">
        <v>66</v>
      </c>
      <c r="U147">
        <v>2</v>
      </c>
      <c r="V147" t="s">
        <v>91</v>
      </c>
      <c r="W147" t="s">
        <v>79</v>
      </c>
      <c r="X147" t="s">
        <v>139</v>
      </c>
      <c r="Y147" t="s">
        <v>68</v>
      </c>
      <c r="Z147" t="s">
        <v>69</v>
      </c>
      <c r="AA147">
        <v>29.33</v>
      </c>
      <c r="AB147" t="s">
        <v>57</v>
      </c>
      <c r="AC147">
        <v>6</v>
      </c>
      <c r="AD147">
        <v>10.385836509400674</v>
      </c>
      <c r="AE147" t="s">
        <v>845</v>
      </c>
      <c r="AF147">
        <v>16.5</v>
      </c>
      <c r="AG147">
        <v>6</v>
      </c>
      <c r="AH147">
        <v>4.8744845881385244</v>
      </c>
      <c r="AI147" t="s">
        <v>846</v>
      </c>
      <c r="AJ147" t="s">
        <v>74</v>
      </c>
      <c r="AK147">
        <v>-1.4593265009732967</v>
      </c>
      <c r="AL147">
        <v>0.4220680765184569</v>
      </c>
      <c r="AM147">
        <v>12</v>
      </c>
      <c r="AN147">
        <v>1</v>
      </c>
      <c r="AO147">
        <v>0.64966766620977601</v>
      </c>
      <c r="AP147">
        <v>-2.2462661709596055</v>
      </c>
      <c r="AQ147">
        <v>-2.732651728664647</v>
      </c>
      <c r="AR147">
        <v>-0.18600127328194649</v>
      </c>
      <c r="AS147">
        <v>88</v>
      </c>
      <c r="AT147" t="s">
        <v>73</v>
      </c>
      <c r="AU147" t="s">
        <v>60</v>
      </c>
      <c r="AV147" t="s">
        <v>74</v>
      </c>
      <c r="AW147" t="s">
        <v>74</v>
      </c>
      <c r="AX147" t="s">
        <v>84</v>
      </c>
      <c r="AY147" t="s">
        <v>837</v>
      </c>
    </row>
    <row r="148" spans="1:51" x14ac:dyDescent="0.75">
      <c r="A148" t="s">
        <v>847</v>
      </c>
      <c r="B148" t="s">
        <v>834</v>
      </c>
      <c r="C148" t="s">
        <v>835</v>
      </c>
      <c r="D148" t="s">
        <v>848</v>
      </c>
      <c r="E148" t="s">
        <v>849</v>
      </c>
      <c r="F148" t="s">
        <v>56</v>
      </c>
      <c r="G148" t="s">
        <v>65</v>
      </c>
      <c r="H148" t="s">
        <v>850</v>
      </c>
      <c r="L148" t="s">
        <v>68</v>
      </c>
      <c r="Q148" t="s">
        <v>851</v>
      </c>
      <c r="R148" t="s">
        <v>64</v>
      </c>
      <c r="T148" t="s">
        <v>66</v>
      </c>
      <c r="U148">
        <v>2</v>
      </c>
      <c r="V148" t="s">
        <v>91</v>
      </c>
      <c r="W148" t="s">
        <v>79</v>
      </c>
      <c r="X148" t="s">
        <v>139</v>
      </c>
      <c r="Y148" t="s">
        <v>68</v>
      </c>
      <c r="Z148" t="s">
        <v>69</v>
      </c>
      <c r="AA148">
        <v>27.31</v>
      </c>
      <c r="AB148" t="s">
        <v>65</v>
      </c>
      <c r="AC148">
        <v>8</v>
      </c>
      <c r="AD148">
        <v>12.841059146347703</v>
      </c>
      <c r="AE148" t="s">
        <v>852</v>
      </c>
      <c r="AF148">
        <v>20.18</v>
      </c>
      <c r="AG148">
        <v>8</v>
      </c>
      <c r="AH148">
        <v>6.8165093706383191</v>
      </c>
      <c r="AI148" t="s">
        <v>853</v>
      </c>
      <c r="AJ148" t="s">
        <v>74</v>
      </c>
      <c r="AK148">
        <v>-0.65563120179949186</v>
      </c>
      <c r="AL148">
        <v>0.26343288352415767</v>
      </c>
      <c r="AM148">
        <v>16</v>
      </c>
      <c r="AN148">
        <v>1</v>
      </c>
      <c r="AO148">
        <v>0.51325713197593048</v>
      </c>
      <c r="AP148">
        <v>-1.2773932614934187</v>
      </c>
      <c r="AQ148">
        <v>-1.6615966952806369</v>
      </c>
      <c r="AR148">
        <v>0.3503342916816532</v>
      </c>
      <c r="AS148">
        <v>95</v>
      </c>
      <c r="AT148" t="s">
        <v>73</v>
      </c>
      <c r="AU148" t="s">
        <v>60</v>
      </c>
      <c r="AV148" t="s">
        <v>74</v>
      </c>
      <c r="AW148" t="s">
        <v>74</v>
      </c>
      <c r="AX148" t="s">
        <v>84</v>
      </c>
      <c r="AY148" t="s">
        <v>837</v>
      </c>
    </row>
    <row r="149" spans="1:51" x14ac:dyDescent="0.75">
      <c r="A149" t="s">
        <v>443</v>
      </c>
      <c r="B149" t="s">
        <v>834</v>
      </c>
      <c r="C149" t="s">
        <v>835</v>
      </c>
      <c r="D149" t="s">
        <v>854</v>
      </c>
      <c r="E149" t="s">
        <v>855</v>
      </c>
      <c r="F149" t="s">
        <v>56</v>
      </c>
      <c r="G149" t="s">
        <v>57</v>
      </c>
      <c r="P149" t="s">
        <v>735</v>
      </c>
      <c r="Q149" t="s">
        <v>293</v>
      </c>
      <c r="T149" t="s">
        <v>66</v>
      </c>
      <c r="U149">
        <v>0.3</v>
      </c>
      <c r="W149" t="s">
        <v>79</v>
      </c>
      <c r="X149" t="s">
        <v>139</v>
      </c>
      <c r="Y149" t="s">
        <v>68</v>
      </c>
      <c r="Z149" t="s">
        <v>69</v>
      </c>
      <c r="AA149">
        <v>33.33</v>
      </c>
      <c r="AB149" t="s">
        <v>57</v>
      </c>
      <c r="AC149">
        <v>6</v>
      </c>
      <c r="AD149">
        <v>13.91310173900845</v>
      </c>
      <c r="AE149" t="s">
        <v>856</v>
      </c>
      <c r="AF149">
        <v>51.67</v>
      </c>
      <c r="AG149">
        <v>6</v>
      </c>
      <c r="AH149">
        <v>18.738596532291311</v>
      </c>
      <c r="AI149" t="s">
        <v>857</v>
      </c>
      <c r="AJ149" t="s">
        <v>293</v>
      </c>
      <c r="AK149">
        <v>1.0254485633823462</v>
      </c>
      <c r="AL149">
        <v>0.37714769817262156</v>
      </c>
      <c r="AM149">
        <v>12</v>
      </c>
      <c r="AN149">
        <v>1</v>
      </c>
      <c r="AO149">
        <v>0.61412352028938089</v>
      </c>
      <c r="AP149">
        <v>1.6697757527657384</v>
      </c>
      <c r="AQ149">
        <v>-0.17821141844379329</v>
      </c>
      <c r="AR149">
        <v>2.2291085452084856</v>
      </c>
      <c r="AS149">
        <v>185</v>
      </c>
      <c r="AT149" t="s">
        <v>95</v>
      </c>
      <c r="AU149" t="s">
        <v>60</v>
      </c>
      <c r="AV149" t="s">
        <v>74</v>
      </c>
      <c r="AW149" t="s">
        <v>60</v>
      </c>
      <c r="AX149" t="s">
        <v>96</v>
      </c>
      <c r="AY149" t="s">
        <v>837</v>
      </c>
    </row>
    <row r="150" spans="1:51" x14ac:dyDescent="0.75">
      <c r="A150" t="s">
        <v>858</v>
      </c>
      <c r="B150" t="s">
        <v>834</v>
      </c>
      <c r="C150" t="s">
        <v>835</v>
      </c>
      <c r="D150" t="s">
        <v>859</v>
      </c>
      <c r="E150" t="s">
        <v>860</v>
      </c>
      <c r="K150" t="s">
        <v>129</v>
      </c>
      <c r="Q150" t="s">
        <v>138</v>
      </c>
      <c r="T150" t="s">
        <v>66</v>
      </c>
      <c r="U150">
        <v>1</v>
      </c>
      <c r="V150" t="s">
        <v>67</v>
      </c>
      <c r="W150" t="s">
        <v>79</v>
      </c>
      <c r="X150" t="s">
        <v>80</v>
      </c>
      <c r="Y150" t="s">
        <v>68</v>
      </c>
      <c r="Z150" t="s">
        <v>139</v>
      </c>
      <c r="AA150">
        <v>24</v>
      </c>
      <c r="AB150" t="s">
        <v>57</v>
      </c>
      <c r="AC150">
        <v>6</v>
      </c>
      <c r="AD150">
        <v>4.5070611267210472</v>
      </c>
      <c r="AE150" t="s">
        <v>861</v>
      </c>
      <c r="AF150">
        <v>15</v>
      </c>
      <c r="AG150">
        <v>6</v>
      </c>
      <c r="AH150">
        <v>6.9810457669320574</v>
      </c>
      <c r="AI150" t="s">
        <v>862</v>
      </c>
      <c r="AJ150" t="s">
        <v>74</v>
      </c>
      <c r="AK150">
        <v>-1.4133901336354746</v>
      </c>
      <c r="AL150">
        <v>0.41656965291075432</v>
      </c>
      <c r="AM150">
        <v>12</v>
      </c>
      <c r="AN150">
        <v>1</v>
      </c>
      <c r="AO150">
        <v>0.64542207346104485</v>
      </c>
      <c r="AP150">
        <v>-2.1898695315086418</v>
      </c>
      <c r="AQ150">
        <v>-2.6783941524462875</v>
      </c>
      <c r="AR150">
        <v>-0.14838611482466191</v>
      </c>
      <c r="AS150">
        <v>190</v>
      </c>
      <c r="AT150" t="s">
        <v>73</v>
      </c>
      <c r="AU150" t="s">
        <v>60</v>
      </c>
      <c r="AV150" t="s">
        <v>96</v>
      </c>
      <c r="AW150" t="s">
        <v>60</v>
      </c>
      <c r="AX150" t="s">
        <v>74</v>
      </c>
      <c r="AY150" t="s">
        <v>863</v>
      </c>
    </row>
    <row r="151" spans="1:51" x14ac:dyDescent="0.75">
      <c r="A151" t="s">
        <v>864</v>
      </c>
      <c r="B151" t="s">
        <v>834</v>
      </c>
      <c r="C151" t="s">
        <v>835</v>
      </c>
      <c r="D151" t="s">
        <v>865</v>
      </c>
      <c r="E151" t="s">
        <v>866</v>
      </c>
      <c r="H151" t="s">
        <v>137</v>
      </c>
      <c r="I151" t="s">
        <v>232</v>
      </c>
      <c r="K151" t="s">
        <v>78</v>
      </c>
      <c r="Q151" t="s">
        <v>63</v>
      </c>
      <c r="R151" t="s">
        <v>103</v>
      </c>
      <c r="T151" t="s">
        <v>66</v>
      </c>
      <c r="U151">
        <v>1</v>
      </c>
      <c r="V151" t="s">
        <v>91</v>
      </c>
      <c r="W151" t="s">
        <v>79</v>
      </c>
      <c r="X151" t="s">
        <v>80</v>
      </c>
      <c r="Y151" t="s">
        <v>68</v>
      </c>
      <c r="Z151" t="s">
        <v>69</v>
      </c>
      <c r="AA151">
        <v>10.5</v>
      </c>
      <c r="AB151" t="s">
        <v>69</v>
      </c>
      <c r="AC151">
        <v>5</v>
      </c>
      <c r="AD151">
        <v>2.9068883707497268</v>
      </c>
      <c r="AE151" t="s">
        <v>457</v>
      </c>
      <c r="AF151">
        <v>14.83</v>
      </c>
      <c r="AG151">
        <v>5</v>
      </c>
      <c r="AH151">
        <v>3.5777087639996639</v>
      </c>
      <c r="AI151" t="s">
        <v>867</v>
      </c>
      <c r="AJ151" t="s">
        <v>72</v>
      </c>
      <c r="AK151">
        <v>1.1991360880893995</v>
      </c>
      <c r="AL151">
        <v>0.47189636788791745</v>
      </c>
      <c r="AM151">
        <v>10</v>
      </c>
      <c r="AN151">
        <v>1</v>
      </c>
      <c r="AO151">
        <v>0.68694713616690872</v>
      </c>
      <c r="AP151">
        <v>1.7456016991066448</v>
      </c>
      <c r="AQ151">
        <v>-0.14725555808067381</v>
      </c>
      <c r="AR151">
        <v>2.5455277342594727</v>
      </c>
      <c r="AS151">
        <v>202</v>
      </c>
      <c r="AT151" t="s">
        <v>95</v>
      </c>
      <c r="AU151" t="s">
        <v>60</v>
      </c>
      <c r="AV151" t="s">
        <v>74</v>
      </c>
      <c r="AW151" t="s">
        <v>60</v>
      </c>
      <c r="AX151" t="s">
        <v>96</v>
      </c>
      <c r="AY151" t="s">
        <v>837</v>
      </c>
    </row>
    <row r="152" spans="1:51" x14ac:dyDescent="0.75">
      <c r="A152" t="s">
        <v>868</v>
      </c>
      <c r="B152" t="s">
        <v>834</v>
      </c>
      <c r="C152" t="s">
        <v>835</v>
      </c>
      <c r="D152" t="s">
        <v>175</v>
      </c>
      <c r="E152" t="s">
        <v>176</v>
      </c>
      <c r="H152" t="s">
        <v>101</v>
      </c>
      <c r="K152" t="s">
        <v>177</v>
      </c>
      <c r="Q152" t="s">
        <v>63</v>
      </c>
      <c r="R152" t="s">
        <v>64</v>
      </c>
      <c r="T152" t="s">
        <v>66</v>
      </c>
      <c r="U152">
        <v>1</v>
      </c>
      <c r="V152" t="s">
        <v>91</v>
      </c>
      <c r="W152" t="s">
        <v>79</v>
      </c>
      <c r="X152" t="s">
        <v>139</v>
      </c>
      <c r="Y152" t="s">
        <v>68</v>
      </c>
      <c r="Z152" t="s">
        <v>69</v>
      </c>
      <c r="AA152">
        <v>5.04</v>
      </c>
      <c r="AB152" t="s">
        <v>57</v>
      </c>
      <c r="AC152">
        <v>6</v>
      </c>
      <c r="AD152">
        <v>1.9595917942265424</v>
      </c>
      <c r="AE152" t="s">
        <v>869</v>
      </c>
      <c r="AF152">
        <v>11.8</v>
      </c>
      <c r="AG152">
        <v>6</v>
      </c>
      <c r="AH152">
        <v>2.1310560762213648</v>
      </c>
      <c r="AI152" t="s">
        <v>870</v>
      </c>
      <c r="AJ152" t="s">
        <v>72</v>
      </c>
      <c r="AK152">
        <v>3.0470908053962011</v>
      </c>
      <c r="AL152">
        <v>0.72019843234708625</v>
      </c>
      <c r="AM152">
        <v>12</v>
      </c>
      <c r="AN152">
        <v>1</v>
      </c>
      <c r="AO152">
        <v>0.84864505675051582</v>
      </c>
      <c r="AP152">
        <v>3.5905362096417455</v>
      </c>
      <c r="AQ152">
        <v>1.38377705850724</v>
      </c>
      <c r="AR152">
        <v>4.7104045522851621</v>
      </c>
      <c r="AS152">
        <v>223</v>
      </c>
      <c r="AT152" t="s">
        <v>95</v>
      </c>
      <c r="AU152" t="s">
        <v>60</v>
      </c>
      <c r="AV152" t="s">
        <v>96</v>
      </c>
      <c r="AW152" t="s">
        <v>60</v>
      </c>
      <c r="AX152" t="s">
        <v>96</v>
      </c>
      <c r="AY152" t="s">
        <v>74</v>
      </c>
    </row>
    <row r="153" spans="1:51" x14ac:dyDescent="0.75">
      <c r="A153" t="s">
        <v>871</v>
      </c>
      <c r="B153" t="s">
        <v>834</v>
      </c>
      <c r="C153" t="s">
        <v>835</v>
      </c>
      <c r="D153" t="s">
        <v>872</v>
      </c>
      <c r="E153" t="s">
        <v>873</v>
      </c>
      <c r="F153" t="s">
        <v>721</v>
      </c>
      <c r="H153" t="s">
        <v>128</v>
      </c>
      <c r="M153" t="s">
        <v>164</v>
      </c>
      <c r="N153" t="s">
        <v>874</v>
      </c>
      <c r="Q153" t="s">
        <v>293</v>
      </c>
      <c r="R153" t="s">
        <v>64</v>
      </c>
      <c r="S153" t="s">
        <v>692</v>
      </c>
      <c r="T153" t="s">
        <v>66</v>
      </c>
      <c r="U153">
        <v>0.5</v>
      </c>
      <c r="V153" t="s">
        <v>875</v>
      </c>
      <c r="W153" t="s">
        <v>79</v>
      </c>
      <c r="X153" t="s">
        <v>139</v>
      </c>
      <c r="Y153" t="s">
        <v>68</v>
      </c>
      <c r="Z153" t="s">
        <v>69</v>
      </c>
      <c r="AA153">
        <v>12.06</v>
      </c>
      <c r="AB153" t="s">
        <v>51</v>
      </c>
      <c r="AC153">
        <v>10</v>
      </c>
      <c r="AD153">
        <v>5.5023631286929806</v>
      </c>
      <c r="AE153" t="s">
        <v>257</v>
      </c>
      <c r="AF153">
        <v>14.09</v>
      </c>
      <c r="AG153">
        <v>8</v>
      </c>
      <c r="AH153">
        <v>4.525483399593905</v>
      </c>
      <c r="AI153" t="s">
        <v>867</v>
      </c>
      <c r="AJ153" t="s">
        <v>293</v>
      </c>
      <c r="AK153">
        <v>0.37917835636557218</v>
      </c>
      <c r="AL153">
        <v>0.22899378405378049</v>
      </c>
      <c r="AM153">
        <v>18</v>
      </c>
      <c r="AN153">
        <v>1</v>
      </c>
      <c r="AO153">
        <v>0.47853294980991695</v>
      </c>
      <c r="AP153">
        <v>0.79237669321661042</v>
      </c>
      <c r="AQ153">
        <v>-0.5587289906775782</v>
      </c>
      <c r="AR153">
        <v>1.3170857034087224</v>
      </c>
      <c r="AS153">
        <v>267</v>
      </c>
      <c r="AT153" t="s">
        <v>95</v>
      </c>
      <c r="AU153" t="s">
        <v>60</v>
      </c>
      <c r="AV153" t="s">
        <v>74</v>
      </c>
      <c r="AW153" t="s">
        <v>60</v>
      </c>
      <c r="AX153" t="s">
        <v>96</v>
      </c>
      <c r="AY153" t="s">
        <v>74</v>
      </c>
    </row>
    <row r="154" spans="1:51" x14ac:dyDescent="0.75">
      <c r="A154" t="s">
        <v>876</v>
      </c>
      <c r="B154" t="s">
        <v>834</v>
      </c>
      <c r="C154" t="s">
        <v>835</v>
      </c>
      <c r="D154" t="s">
        <v>828</v>
      </c>
      <c r="E154" t="s">
        <v>829</v>
      </c>
      <c r="K154" t="s">
        <v>78</v>
      </c>
      <c r="P154" t="s">
        <v>830</v>
      </c>
      <c r="Q154" t="s">
        <v>63</v>
      </c>
      <c r="T154" t="s">
        <v>66</v>
      </c>
      <c r="U154">
        <v>1</v>
      </c>
      <c r="W154" t="s">
        <v>79</v>
      </c>
      <c r="X154" t="s">
        <v>80</v>
      </c>
      <c r="Y154" t="s">
        <v>68</v>
      </c>
      <c r="Z154" t="s">
        <v>69</v>
      </c>
      <c r="AA154">
        <v>26.33</v>
      </c>
      <c r="AB154" t="s">
        <v>69</v>
      </c>
      <c r="AC154">
        <v>5</v>
      </c>
      <c r="AD154">
        <v>1.2521980673998825</v>
      </c>
      <c r="AE154" t="s">
        <v>877</v>
      </c>
      <c r="AF154">
        <v>65.5</v>
      </c>
      <c r="AG154">
        <v>5</v>
      </c>
      <c r="AH154">
        <v>2.6832815729997477</v>
      </c>
      <c r="AI154" t="s">
        <v>878</v>
      </c>
      <c r="AJ154" t="s">
        <v>72</v>
      </c>
      <c r="AK154">
        <v>16.887421572767746</v>
      </c>
      <c r="AL154">
        <v>14.659250368819073</v>
      </c>
      <c r="AM154">
        <v>10</v>
      </c>
      <c r="AN154">
        <v>1</v>
      </c>
      <c r="AO154">
        <v>3.8287400497838808</v>
      </c>
      <c r="AP154">
        <v>4.4106994345884054</v>
      </c>
      <c r="AQ154">
        <v>9.3832289690252466</v>
      </c>
      <c r="AR154">
        <v>24.391614176510245</v>
      </c>
      <c r="AS154">
        <v>279</v>
      </c>
      <c r="AT154" t="s">
        <v>95</v>
      </c>
      <c r="AU154" t="s">
        <v>60</v>
      </c>
      <c r="AV154" t="s">
        <v>84</v>
      </c>
      <c r="AW154" t="s">
        <v>74</v>
      </c>
      <c r="AX154" t="s">
        <v>74</v>
      </c>
      <c r="AY154" t="s">
        <v>837</v>
      </c>
    </row>
    <row r="155" spans="1:51" x14ac:dyDescent="0.75">
      <c r="A155" t="s">
        <v>879</v>
      </c>
      <c r="B155" t="s">
        <v>834</v>
      </c>
      <c r="C155" t="s">
        <v>835</v>
      </c>
      <c r="D155" t="s">
        <v>880</v>
      </c>
      <c r="E155" t="s">
        <v>881</v>
      </c>
      <c r="F155" t="s">
        <v>56</v>
      </c>
      <c r="G155" t="s">
        <v>51</v>
      </c>
      <c r="H155" t="s">
        <v>119</v>
      </c>
      <c r="I155" t="s">
        <v>80</v>
      </c>
      <c r="Q155" t="s">
        <v>293</v>
      </c>
      <c r="R155" t="s">
        <v>64</v>
      </c>
      <c r="T155" t="s">
        <v>66</v>
      </c>
      <c r="U155">
        <v>1</v>
      </c>
      <c r="V155" t="s">
        <v>91</v>
      </c>
      <c r="W155" t="s">
        <v>79</v>
      </c>
      <c r="X155" t="s">
        <v>139</v>
      </c>
      <c r="Y155" t="s">
        <v>68</v>
      </c>
      <c r="Z155" t="s">
        <v>69</v>
      </c>
      <c r="AA155">
        <v>55.66</v>
      </c>
      <c r="AB155" t="s">
        <v>92</v>
      </c>
      <c r="AC155">
        <v>20</v>
      </c>
      <c r="AD155">
        <v>14.534441853748634</v>
      </c>
      <c r="AE155" t="s">
        <v>882</v>
      </c>
      <c r="AF155">
        <v>71.2</v>
      </c>
      <c r="AG155">
        <v>20</v>
      </c>
      <c r="AH155">
        <v>4.1590864381496093</v>
      </c>
      <c r="AI155" t="s">
        <v>883</v>
      </c>
      <c r="AJ155" t="s">
        <v>293</v>
      </c>
      <c r="AK155">
        <v>1.4247947237468908</v>
      </c>
      <c r="AL155">
        <v>0.12537550006021225</v>
      </c>
      <c r="AM155">
        <v>40</v>
      </c>
      <c r="AN155">
        <v>1</v>
      </c>
      <c r="AO155">
        <v>0.35408402965992725</v>
      </c>
      <c r="AP155">
        <v>4.0238886942043264</v>
      </c>
      <c r="AQ155">
        <v>0.73080277811262118</v>
      </c>
      <c r="AR155">
        <v>2.1187866693811603</v>
      </c>
      <c r="AS155">
        <v>311</v>
      </c>
      <c r="AT155" t="s">
        <v>95</v>
      </c>
      <c r="AU155" t="s">
        <v>60</v>
      </c>
      <c r="AV155" t="s">
        <v>74</v>
      </c>
      <c r="AW155" t="s">
        <v>60</v>
      </c>
      <c r="AX155" t="s">
        <v>96</v>
      </c>
      <c r="AY155" t="s">
        <v>837</v>
      </c>
    </row>
    <row r="156" spans="1:51" x14ac:dyDescent="0.75">
      <c r="A156" t="s">
        <v>884</v>
      </c>
      <c r="B156" t="s">
        <v>834</v>
      </c>
      <c r="C156" t="s">
        <v>835</v>
      </c>
      <c r="D156" t="s">
        <v>885</v>
      </c>
      <c r="E156" t="s">
        <v>886</v>
      </c>
      <c r="H156" t="s">
        <v>101</v>
      </c>
      <c r="I156" t="s">
        <v>232</v>
      </c>
      <c r="Q156" t="s">
        <v>138</v>
      </c>
      <c r="R156" t="s">
        <v>64</v>
      </c>
      <c r="T156" t="s">
        <v>66</v>
      </c>
      <c r="U156">
        <v>1</v>
      </c>
      <c r="V156" t="s">
        <v>67</v>
      </c>
      <c r="W156" t="s">
        <v>294</v>
      </c>
      <c r="Y156" t="s">
        <v>68</v>
      </c>
      <c r="Z156" t="s">
        <v>81</v>
      </c>
      <c r="AA156">
        <v>20.43</v>
      </c>
      <c r="AB156" t="s">
        <v>78</v>
      </c>
      <c r="AC156">
        <v>7</v>
      </c>
      <c r="AD156">
        <v>1.6139082997494003</v>
      </c>
      <c r="AE156" t="s">
        <v>887</v>
      </c>
      <c r="AF156">
        <v>3.43</v>
      </c>
      <c r="AG156">
        <v>7</v>
      </c>
      <c r="AH156">
        <v>2.2224311012942559</v>
      </c>
      <c r="AI156" t="s">
        <v>481</v>
      </c>
      <c r="AJ156" t="s">
        <v>74</v>
      </c>
      <c r="AK156">
        <v>-8.1924691016895927</v>
      </c>
      <c r="AL156">
        <v>2.6827339279335241</v>
      </c>
      <c r="AM156">
        <v>14</v>
      </c>
      <c r="AN156">
        <v>1</v>
      </c>
      <c r="AO156">
        <v>1.6379053476723018</v>
      </c>
      <c r="AP156">
        <v>-5.0017964184146937</v>
      </c>
      <c r="AQ156">
        <v>-11.40270459321286</v>
      </c>
      <c r="AR156">
        <v>-4.9822336101663254</v>
      </c>
      <c r="AS156">
        <v>313</v>
      </c>
      <c r="AT156" t="s">
        <v>73</v>
      </c>
      <c r="AU156" t="s">
        <v>60</v>
      </c>
      <c r="AV156" t="s">
        <v>74</v>
      </c>
      <c r="AW156" t="s">
        <v>74</v>
      </c>
      <c r="AX156" t="s">
        <v>96</v>
      </c>
      <c r="AY156" t="s">
        <v>863</v>
      </c>
    </row>
    <row r="157" spans="1:51" x14ac:dyDescent="0.75">
      <c r="A157" t="s">
        <v>888</v>
      </c>
      <c r="B157" t="s">
        <v>834</v>
      </c>
      <c r="C157" t="s">
        <v>835</v>
      </c>
      <c r="D157" t="s">
        <v>889</v>
      </c>
      <c r="E157" t="s">
        <v>890</v>
      </c>
      <c r="Q157" t="s">
        <v>63</v>
      </c>
      <c r="R157" t="s">
        <v>64</v>
      </c>
      <c r="T157" t="s">
        <v>66</v>
      </c>
      <c r="U157">
        <v>2</v>
      </c>
      <c r="V157" t="s">
        <v>91</v>
      </c>
      <c r="W157" t="s">
        <v>79</v>
      </c>
      <c r="X157" t="s">
        <v>118</v>
      </c>
      <c r="Y157" t="s">
        <v>68</v>
      </c>
      <c r="Z157" t="s">
        <v>69</v>
      </c>
      <c r="AA157">
        <v>36.96</v>
      </c>
      <c r="AB157" t="s">
        <v>78</v>
      </c>
      <c r="AC157">
        <v>7</v>
      </c>
      <c r="AD157">
        <v>3.0161564946136332</v>
      </c>
      <c r="AE157" t="s">
        <v>891</v>
      </c>
      <c r="AF157">
        <v>22.06</v>
      </c>
      <c r="AG157">
        <v>7</v>
      </c>
      <c r="AH157">
        <v>6.8260383825466446</v>
      </c>
      <c r="AI157" t="s">
        <v>450</v>
      </c>
      <c r="AJ157" t="s">
        <v>72</v>
      </c>
      <c r="AK157">
        <v>-2.6427355893627968</v>
      </c>
      <c r="AL157">
        <v>0.53514469268874032</v>
      </c>
      <c r="AM157">
        <v>14</v>
      </c>
      <c r="AN157">
        <v>1</v>
      </c>
      <c r="AO157">
        <v>0.7315358451154258</v>
      </c>
      <c r="AP157">
        <v>-3.6125852301137908</v>
      </c>
      <c r="AQ157">
        <v>-4.0765194991891027</v>
      </c>
      <c r="AR157">
        <v>-1.2089516795364912</v>
      </c>
      <c r="AS157">
        <v>351</v>
      </c>
      <c r="AT157" t="s">
        <v>73</v>
      </c>
      <c r="AU157" t="s">
        <v>60</v>
      </c>
      <c r="AV157" t="s">
        <v>74</v>
      </c>
      <c r="AW157" t="s">
        <v>74</v>
      </c>
      <c r="AX157" t="s">
        <v>84</v>
      </c>
      <c r="AY157" t="s">
        <v>74</v>
      </c>
    </row>
    <row r="158" spans="1:51" x14ac:dyDescent="0.75">
      <c r="A158" t="s">
        <v>892</v>
      </c>
      <c r="B158" t="s">
        <v>834</v>
      </c>
      <c r="C158" t="s">
        <v>835</v>
      </c>
      <c r="D158" t="s">
        <v>893</v>
      </c>
      <c r="E158" t="s">
        <v>894</v>
      </c>
      <c r="H158" t="s">
        <v>128</v>
      </c>
      <c r="I158" t="s">
        <v>120</v>
      </c>
      <c r="Q158" t="s">
        <v>63</v>
      </c>
      <c r="R158" t="s">
        <v>103</v>
      </c>
      <c r="S158" t="s">
        <v>131</v>
      </c>
      <c r="T158" t="s">
        <v>66</v>
      </c>
      <c r="U158">
        <v>1</v>
      </c>
      <c r="V158" t="s">
        <v>91</v>
      </c>
      <c r="W158" t="s">
        <v>79</v>
      </c>
      <c r="X158" t="s">
        <v>80</v>
      </c>
      <c r="Y158" t="s">
        <v>68</v>
      </c>
      <c r="Z158" t="s">
        <v>69</v>
      </c>
      <c r="AA158">
        <v>10.5</v>
      </c>
      <c r="AB158" t="s">
        <v>692</v>
      </c>
      <c r="AC158">
        <v>4</v>
      </c>
      <c r="AD158">
        <v>26</v>
      </c>
      <c r="AE158" t="s">
        <v>895</v>
      </c>
      <c r="AF158">
        <v>14.83</v>
      </c>
      <c r="AG158">
        <v>4</v>
      </c>
      <c r="AH158">
        <v>3.2</v>
      </c>
      <c r="AI158" t="s">
        <v>867</v>
      </c>
      <c r="AJ158" t="s">
        <v>72</v>
      </c>
      <c r="AK158">
        <v>0.20304768778390705</v>
      </c>
      <c r="AL158">
        <v>0.5025767727196494</v>
      </c>
      <c r="AM158">
        <v>8</v>
      </c>
      <c r="AN158">
        <v>1</v>
      </c>
      <c r="AO158">
        <v>0.70892649317094181</v>
      </c>
      <c r="AP158">
        <v>0.28641571409709843</v>
      </c>
      <c r="AQ158">
        <v>-1.1864227065174193</v>
      </c>
      <c r="AR158">
        <v>1.5925180820852336</v>
      </c>
      <c r="AS158">
        <v>387</v>
      </c>
      <c r="AT158" t="s">
        <v>95</v>
      </c>
      <c r="AU158" t="s">
        <v>60</v>
      </c>
      <c r="AV158" t="s">
        <v>74</v>
      </c>
      <c r="AW158" t="s">
        <v>60</v>
      </c>
      <c r="AX158" t="s">
        <v>96</v>
      </c>
      <c r="AY158" t="s">
        <v>837</v>
      </c>
    </row>
    <row r="159" spans="1:51" x14ac:dyDescent="0.75">
      <c r="A159" t="s">
        <v>896</v>
      </c>
      <c r="B159" t="s">
        <v>834</v>
      </c>
      <c r="C159" t="s">
        <v>835</v>
      </c>
      <c r="D159" t="s">
        <v>897</v>
      </c>
      <c r="E159" t="s">
        <v>898</v>
      </c>
      <c r="H159" t="s">
        <v>137</v>
      </c>
      <c r="I159" t="s">
        <v>189</v>
      </c>
      <c r="L159" t="s">
        <v>60</v>
      </c>
      <c r="Q159" t="s">
        <v>63</v>
      </c>
      <c r="R159" t="s">
        <v>64</v>
      </c>
      <c r="T159" t="s">
        <v>66</v>
      </c>
      <c r="U159">
        <v>1.56</v>
      </c>
      <c r="Y159" t="s">
        <v>68</v>
      </c>
      <c r="Z159" t="s">
        <v>69</v>
      </c>
      <c r="AA159">
        <v>25.49</v>
      </c>
      <c r="AB159" t="s">
        <v>57</v>
      </c>
      <c r="AC159">
        <v>6</v>
      </c>
      <c r="AD159">
        <v>7.2014998437825426</v>
      </c>
      <c r="AE159" t="s">
        <v>899</v>
      </c>
      <c r="AF159">
        <v>72.540000000000006</v>
      </c>
      <c r="AG159">
        <v>6</v>
      </c>
      <c r="AH159">
        <v>4.8009998958550284</v>
      </c>
      <c r="AI159" t="s">
        <v>900</v>
      </c>
      <c r="AJ159" t="s">
        <v>72</v>
      </c>
      <c r="AK159">
        <v>7.0938701612747508</v>
      </c>
      <c r="AL159">
        <v>2.4301247443760108</v>
      </c>
      <c r="AM159">
        <v>12</v>
      </c>
      <c r="AN159">
        <v>1</v>
      </c>
      <c r="AO159">
        <v>1.5588857380757613</v>
      </c>
      <c r="AP159">
        <v>4.550603028821854</v>
      </c>
      <c r="AQ159">
        <v>4.038510258633119</v>
      </c>
      <c r="AR159">
        <v>10.149230063916383</v>
      </c>
      <c r="AS159">
        <v>442</v>
      </c>
      <c r="AT159" t="s">
        <v>95</v>
      </c>
      <c r="AU159" t="s">
        <v>60</v>
      </c>
      <c r="AV159" t="s">
        <v>96</v>
      </c>
      <c r="AW159" t="s">
        <v>60</v>
      </c>
      <c r="AX159" t="s">
        <v>96</v>
      </c>
      <c r="AY159" t="s">
        <v>837</v>
      </c>
    </row>
    <row r="160" spans="1:51" x14ac:dyDescent="0.75">
      <c r="A160" t="s">
        <v>901</v>
      </c>
      <c r="B160" t="s">
        <v>834</v>
      </c>
      <c r="C160" t="s">
        <v>835</v>
      </c>
      <c r="D160" t="s">
        <v>902</v>
      </c>
      <c r="E160" t="s">
        <v>903</v>
      </c>
      <c r="F160" t="s">
        <v>56</v>
      </c>
      <c r="G160" t="s">
        <v>57</v>
      </c>
      <c r="H160" t="s">
        <v>137</v>
      </c>
      <c r="I160" t="s">
        <v>189</v>
      </c>
      <c r="L160" t="s">
        <v>60</v>
      </c>
      <c r="Q160" t="s">
        <v>63</v>
      </c>
      <c r="R160" t="s">
        <v>64</v>
      </c>
      <c r="T160" t="s">
        <v>66</v>
      </c>
      <c r="U160">
        <v>1</v>
      </c>
      <c r="V160" t="s">
        <v>91</v>
      </c>
      <c r="W160" t="s">
        <v>79</v>
      </c>
      <c r="X160" t="s">
        <v>139</v>
      </c>
      <c r="Y160" t="s">
        <v>68</v>
      </c>
      <c r="Z160" t="s">
        <v>69</v>
      </c>
      <c r="AA160">
        <v>31.88</v>
      </c>
      <c r="AB160" t="s">
        <v>57</v>
      </c>
      <c r="AC160">
        <v>6</v>
      </c>
      <c r="AD160">
        <v>5.8787753826796267</v>
      </c>
      <c r="AE160" t="s">
        <v>904</v>
      </c>
      <c r="AF160">
        <v>41.5</v>
      </c>
      <c r="AG160">
        <v>6</v>
      </c>
      <c r="AH160">
        <v>9.4795253045708989</v>
      </c>
      <c r="AI160" t="s">
        <v>905</v>
      </c>
      <c r="AJ160" t="s">
        <v>72</v>
      </c>
      <c r="AK160">
        <v>1.125445618577003</v>
      </c>
      <c r="AL160">
        <v>0.38610949334892386</v>
      </c>
      <c r="AM160">
        <v>12</v>
      </c>
      <c r="AN160">
        <v>1</v>
      </c>
      <c r="AO160">
        <v>0.62137709432270183</v>
      </c>
      <c r="AP160">
        <v>1.8112119498124299</v>
      </c>
      <c r="AQ160">
        <v>-9.2431107113640554E-2</v>
      </c>
      <c r="AR160">
        <v>2.3433223442676465</v>
      </c>
      <c r="AS160">
        <v>537</v>
      </c>
      <c r="AT160" t="s">
        <v>95</v>
      </c>
      <c r="AU160" t="s">
        <v>60</v>
      </c>
      <c r="AV160" t="s">
        <v>96</v>
      </c>
      <c r="AW160" t="s">
        <v>60</v>
      </c>
      <c r="AX160" t="s">
        <v>96</v>
      </c>
      <c r="AY160" t="s">
        <v>837</v>
      </c>
    </row>
    <row r="161" spans="1:51" x14ac:dyDescent="0.75">
      <c r="A161" t="s">
        <v>906</v>
      </c>
      <c r="B161" t="s">
        <v>834</v>
      </c>
      <c r="C161" t="s">
        <v>835</v>
      </c>
      <c r="D161" t="s">
        <v>907</v>
      </c>
      <c r="E161" t="s">
        <v>908</v>
      </c>
      <c r="F161" t="s">
        <v>56</v>
      </c>
      <c r="G161" t="s">
        <v>57</v>
      </c>
      <c r="H161" t="s">
        <v>101</v>
      </c>
      <c r="Q161" t="s">
        <v>63</v>
      </c>
      <c r="R161" t="s">
        <v>64</v>
      </c>
      <c r="T161" t="s">
        <v>66</v>
      </c>
      <c r="U161">
        <v>1.5</v>
      </c>
      <c r="V161" t="s">
        <v>67</v>
      </c>
      <c r="W161" t="s">
        <v>79</v>
      </c>
      <c r="X161" t="s">
        <v>80</v>
      </c>
      <c r="Y161" t="s">
        <v>68</v>
      </c>
      <c r="Z161" t="s">
        <v>81</v>
      </c>
      <c r="AA161">
        <v>19.440000000000001</v>
      </c>
      <c r="AB161" t="s">
        <v>65</v>
      </c>
      <c r="AC161">
        <v>8</v>
      </c>
      <c r="AD161">
        <v>0</v>
      </c>
      <c r="AE161" t="s">
        <v>561</v>
      </c>
      <c r="AF161">
        <v>25.05</v>
      </c>
      <c r="AG161">
        <v>8</v>
      </c>
      <c r="AH161">
        <v>2.9698484809835</v>
      </c>
      <c r="AI161" t="s">
        <v>909</v>
      </c>
      <c r="AJ161" t="s">
        <v>72</v>
      </c>
      <c r="AK161">
        <v>2.5252686482910507</v>
      </c>
      <c r="AL161">
        <v>0.44928067956380346</v>
      </c>
      <c r="AM161">
        <v>16</v>
      </c>
      <c r="AN161">
        <v>1</v>
      </c>
      <c r="AO161">
        <v>0.67028402902337114</v>
      </c>
      <c r="AP161">
        <v>3.7674605673813555</v>
      </c>
      <c r="AQ161">
        <v>1.2115360919928431</v>
      </c>
      <c r="AR161">
        <v>3.8390012045892581</v>
      </c>
      <c r="AS161">
        <v>547</v>
      </c>
      <c r="AT161" t="s">
        <v>95</v>
      </c>
      <c r="AU161" t="s">
        <v>60</v>
      </c>
      <c r="AV161" t="s">
        <v>96</v>
      </c>
      <c r="AW161" t="s">
        <v>60</v>
      </c>
      <c r="AX161" t="s">
        <v>96</v>
      </c>
      <c r="AY161" t="s">
        <v>837</v>
      </c>
    </row>
    <row r="162" spans="1:51" x14ac:dyDescent="0.75">
      <c r="A162" t="s">
        <v>910</v>
      </c>
      <c r="B162" t="s">
        <v>834</v>
      </c>
      <c r="C162" t="s">
        <v>835</v>
      </c>
      <c r="D162" t="s">
        <v>911</v>
      </c>
      <c r="E162" t="s">
        <v>912</v>
      </c>
      <c r="H162" t="s">
        <v>119</v>
      </c>
      <c r="I162" t="s">
        <v>838</v>
      </c>
      <c r="Q162" t="s">
        <v>63</v>
      </c>
      <c r="R162" t="s">
        <v>103</v>
      </c>
      <c r="T162" t="s">
        <v>66</v>
      </c>
      <c r="U162">
        <v>1.5</v>
      </c>
      <c r="V162" t="s">
        <v>91</v>
      </c>
      <c r="W162" t="s">
        <v>79</v>
      </c>
      <c r="X162" t="s">
        <v>139</v>
      </c>
      <c r="Y162" t="s">
        <v>68</v>
      </c>
      <c r="Z162" t="s">
        <v>69</v>
      </c>
      <c r="AA162">
        <v>21</v>
      </c>
      <c r="AB162" t="s">
        <v>57</v>
      </c>
      <c r="AC162">
        <v>6</v>
      </c>
      <c r="AD162">
        <v>5.4378672289786554</v>
      </c>
      <c r="AE162" t="s">
        <v>913</v>
      </c>
      <c r="AF162">
        <v>51.22</v>
      </c>
      <c r="AG162">
        <v>6</v>
      </c>
      <c r="AH162">
        <v>3.233326460473795</v>
      </c>
      <c r="AI162" t="s">
        <v>914</v>
      </c>
      <c r="AJ162" t="s">
        <v>72</v>
      </c>
      <c r="AK162">
        <v>6.2334267356955291</v>
      </c>
      <c r="AL162">
        <v>1.9523170362201592</v>
      </c>
      <c r="AM162">
        <v>12</v>
      </c>
      <c r="AN162">
        <v>1</v>
      </c>
      <c r="AO162">
        <v>1.397253390126558</v>
      </c>
      <c r="AP162">
        <v>4.4611999367780593</v>
      </c>
      <c r="AQ162">
        <v>3.494860413770982</v>
      </c>
      <c r="AR162">
        <v>8.9719930576200753</v>
      </c>
      <c r="AS162">
        <v>585</v>
      </c>
      <c r="AT162" t="s">
        <v>95</v>
      </c>
      <c r="AU162" t="s">
        <v>60</v>
      </c>
      <c r="AV162" t="s">
        <v>96</v>
      </c>
      <c r="AW162" t="s">
        <v>60</v>
      </c>
      <c r="AX162" t="s">
        <v>96</v>
      </c>
      <c r="AY162" t="s">
        <v>837</v>
      </c>
    </row>
    <row r="163" spans="1:51" x14ac:dyDescent="0.75">
      <c r="A163" t="s">
        <v>915</v>
      </c>
      <c r="B163" t="s">
        <v>834</v>
      </c>
      <c r="C163" t="s">
        <v>835</v>
      </c>
      <c r="D163" t="s">
        <v>916</v>
      </c>
      <c r="E163" t="s">
        <v>917</v>
      </c>
      <c r="H163" t="s">
        <v>137</v>
      </c>
      <c r="N163" t="s">
        <v>918</v>
      </c>
      <c r="Q163" t="s">
        <v>72</v>
      </c>
      <c r="R163" t="s">
        <v>103</v>
      </c>
      <c r="T163" t="s">
        <v>66</v>
      </c>
      <c r="U163">
        <v>2</v>
      </c>
      <c r="V163" t="s">
        <v>91</v>
      </c>
      <c r="W163" t="s">
        <v>79</v>
      </c>
      <c r="X163" t="s">
        <v>139</v>
      </c>
      <c r="Y163" t="s">
        <v>68</v>
      </c>
      <c r="Z163" t="s">
        <v>69</v>
      </c>
      <c r="AA163">
        <v>10.5</v>
      </c>
      <c r="AB163" t="s">
        <v>57</v>
      </c>
      <c r="AC163">
        <v>6</v>
      </c>
      <c r="AD163">
        <v>3.1843366656181313</v>
      </c>
      <c r="AE163" t="s">
        <v>457</v>
      </c>
      <c r="AF163">
        <v>14.83</v>
      </c>
      <c r="AG163">
        <v>6</v>
      </c>
      <c r="AH163">
        <v>3.9191835884530848</v>
      </c>
      <c r="AI163" t="s">
        <v>867</v>
      </c>
      <c r="AJ163" t="s">
        <v>72</v>
      </c>
      <c r="AK163">
        <v>1.1189605897051924</v>
      </c>
      <c r="AL163">
        <v>0.38550303338805797</v>
      </c>
      <c r="AM163">
        <v>12</v>
      </c>
      <c r="AN163">
        <v>1</v>
      </c>
      <c r="AO163">
        <v>0.62088890583425471</v>
      </c>
      <c r="AP163">
        <v>1.8021913086073036</v>
      </c>
      <c r="AQ163">
        <v>-9.7959304130427638E-2</v>
      </c>
      <c r="AR163">
        <v>2.3358804835408122</v>
      </c>
      <c r="AS163">
        <v>610</v>
      </c>
      <c r="AT163" t="s">
        <v>95</v>
      </c>
      <c r="AU163" t="s">
        <v>60</v>
      </c>
      <c r="AV163" t="s">
        <v>96</v>
      </c>
      <c r="AW163" t="s">
        <v>60</v>
      </c>
      <c r="AX163" t="s">
        <v>96</v>
      </c>
      <c r="AY163" t="s">
        <v>837</v>
      </c>
    </row>
    <row r="164" spans="1:51" x14ac:dyDescent="0.75">
      <c r="A164" t="s">
        <v>919</v>
      </c>
      <c r="B164" t="s">
        <v>834</v>
      </c>
      <c r="C164" t="s">
        <v>835</v>
      </c>
      <c r="D164" t="s">
        <v>920</v>
      </c>
      <c r="E164" t="s">
        <v>643</v>
      </c>
      <c r="F164" t="s">
        <v>56</v>
      </c>
      <c r="G164" t="s">
        <v>57</v>
      </c>
      <c r="Q164" t="s">
        <v>921</v>
      </c>
      <c r="R164" t="s">
        <v>64</v>
      </c>
      <c r="T164" t="s">
        <v>66</v>
      </c>
      <c r="U164">
        <v>1</v>
      </c>
      <c r="V164" t="s">
        <v>91</v>
      </c>
      <c r="W164" t="s">
        <v>79</v>
      </c>
      <c r="X164" t="s">
        <v>139</v>
      </c>
      <c r="Y164" t="s">
        <v>68</v>
      </c>
      <c r="Z164" t="s">
        <v>69</v>
      </c>
      <c r="AA164">
        <v>26.08</v>
      </c>
      <c r="AB164" t="s">
        <v>57</v>
      </c>
      <c r="AC164">
        <v>6</v>
      </c>
      <c r="AD164">
        <v>4.9234743829941872</v>
      </c>
      <c r="AE164" t="s">
        <v>922</v>
      </c>
      <c r="AF164">
        <v>7.87</v>
      </c>
      <c r="AG164">
        <v>6</v>
      </c>
      <c r="AH164">
        <v>7.3484692283495336</v>
      </c>
      <c r="AI164" t="s">
        <v>81</v>
      </c>
      <c r="AJ164" t="s">
        <v>74</v>
      </c>
      <c r="AK164">
        <v>-2.6865247398688865</v>
      </c>
      <c r="AL164">
        <v>0.63405896574698284</v>
      </c>
      <c r="AM164">
        <v>12</v>
      </c>
      <c r="AN164">
        <v>1</v>
      </c>
      <c r="AO164">
        <v>0.79627819620217077</v>
      </c>
      <c r="AP164">
        <v>-3.3738519435571637</v>
      </c>
      <c r="AQ164">
        <v>-4.2472013260996597</v>
      </c>
      <c r="AR164">
        <v>-1.1258481536381131</v>
      </c>
      <c r="AS164">
        <v>640</v>
      </c>
      <c r="AT164" t="s">
        <v>73</v>
      </c>
      <c r="AU164" t="s">
        <v>60</v>
      </c>
      <c r="AV164" t="s">
        <v>74</v>
      </c>
      <c r="AW164" t="s">
        <v>74</v>
      </c>
      <c r="AX164" t="s">
        <v>84</v>
      </c>
      <c r="AY164" t="s">
        <v>837</v>
      </c>
    </row>
    <row r="165" spans="1:51" x14ac:dyDescent="0.75">
      <c r="A165" t="s">
        <v>923</v>
      </c>
      <c r="B165" t="s">
        <v>834</v>
      </c>
      <c r="C165" t="s">
        <v>835</v>
      </c>
      <c r="D165" t="s">
        <v>924</v>
      </c>
      <c r="E165" t="s">
        <v>925</v>
      </c>
      <c r="F165" t="s">
        <v>56</v>
      </c>
      <c r="G165" t="s">
        <v>352</v>
      </c>
      <c r="H165" t="s">
        <v>119</v>
      </c>
      <c r="I165" t="s">
        <v>838</v>
      </c>
      <c r="Q165" t="s">
        <v>307</v>
      </c>
      <c r="R165" t="s">
        <v>64</v>
      </c>
      <c r="T165" t="s">
        <v>66</v>
      </c>
      <c r="U165">
        <v>1</v>
      </c>
      <c r="V165" t="s">
        <v>91</v>
      </c>
      <c r="W165" t="s">
        <v>79</v>
      </c>
      <c r="X165" t="s">
        <v>139</v>
      </c>
      <c r="Y165" t="s">
        <v>68</v>
      </c>
      <c r="Z165" t="s">
        <v>69</v>
      </c>
      <c r="AA165">
        <v>12.34</v>
      </c>
      <c r="AB165" t="s">
        <v>65</v>
      </c>
      <c r="AC165">
        <v>8</v>
      </c>
      <c r="AD165">
        <v>0.82024386617639511</v>
      </c>
      <c r="AE165" t="s">
        <v>926</v>
      </c>
      <c r="AF165">
        <v>49.67</v>
      </c>
      <c r="AG165">
        <v>8</v>
      </c>
      <c r="AH165">
        <v>7.0993520831129366</v>
      </c>
      <c r="AI165" t="s">
        <v>337</v>
      </c>
      <c r="AJ165" t="s">
        <v>74</v>
      </c>
      <c r="AK165">
        <v>6.9829474331455961</v>
      </c>
      <c r="AL165">
        <v>1.7737985891898334</v>
      </c>
      <c r="AM165">
        <v>16</v>
      </c>
      <c r="AN165">
        <v>1</v>
      </c>
      <c r="AO165">
        <v>1.3318403016840394</v>
      </c>
      <c r="AP165">
        <v>5.2430816399804385</v>
      </c>
      <c r="AQ165">
        <v>4.3725884086859192</v>
      </c>
      <c r="AR165">
        <v>9.5933064576052729</v>
      </c>
      <c r="AS165">
        <v>670</v>
      </c>
      <c r="AT165" t="s">
        <v>95</v>
      </c>
      <c r="AU165" t="s">
        <v>60</v>
      </c>
      <c r="AV165" t="s">
        <v>96</v>
      </c>
      <c r="AW165" t="s">
        <v>60</v>
      </c>
      <c r="AX165" t="s">
        <v>96</v>
      </c>
      <c r="AY165" t="s">
        <v>837</v>
      </c>
    </row>
    <row r="166" spans="1:51" x14ac:dyDescent="0.75">
      <c r="A166" t="s">
        <v>927</v>
      </c>
      <c r="B166" t="s">
        <v>834</v>
      </c>
      <c r="C166" t="s">
        <v>835</v>
      </c>
      <c r="D166" t="s">
        <v>928</v>
      </c>
      <c r="E166" t="s">
        <v>925</v>
      </c>
      <c r="F166" t="s">
        <v>56</v>
      </c>
      <c r="G166" t="s">
        <v>57</v>
      </c>
      <c r="H166" t="s">
        <v>119</v>
      </c>
      <c r="I166" t="s">
        <v>838</v>
      </c>
      <c r="Q166" t="s">
        <v>63</v>
      </c>
      <c r="R166" t="s">
        <v>103</v>
      </c>
      <c r="S166" t="s">
        <v>109</v>
      </c>
      <c r="T166" t="s">
        <v>66</v>
      </c>
      <c r="U166">
        <v>2</v>
      </c>
      <c r="V166" t="s">
        <v>91</v>
      </c>
      <c r="W166" t="s">
        <v>294</v>
      </c>
      <c r="Y166" t="s">
        <v>68</v>
      </c>
      <c r="Z166" t="s">
        <v>69</v>
      </c>
      <c r="AA166">
        <v>11.37</v>
      </c>
      <c r="AB166" t="s">
        <v>65</v>
      </c>
      <c r="AC166">
        <v>8</v>
      </c>
      <c r="AD166">
        <v>4.6103362133362902</v>
      </c>
      <c r="AE166" t="s">
        <v>929</v>
      </c>
      <c r="AF166">
        <v>27.25</v>
      </c>
      <c r="AG166">
        <v>8</v>
      </c>
      <c r="AH166">
        <v>6.0245497757093851</v>
      </c>
      <c r="AI166" t="s">
        <v>327</v>
      </c>
      <c r="AJ166" t="s">
        <v>72</v>
      </c>
      <c r="AK166">
        <v>2.7983713323053965</v>
      </c>
      <c r="AL166">
        <v>0.49471506604589621</v>
      </c>
      <c r="AM166">
        <v>16</v>
      </c>
      <c r="AN166">
        <v>1</v>
      </c>
      <c r="AO166">
        <v>0.70335984108128902</v>
      </c>
      <c r="AP166">
        <v>3.9785770651952559</v>
      </c>
      <c r="AQ166">
        <v>1.4198113756142543</v>
      </c>
      <c r="AR166">
        <v>4.1769312889965384</v>
      </c>
      <c r="AS166">
        <v>674</v>
      </c>
      <c r="AT166" t="s">
        <v>95</v>
      </c>
      <c r="AU166" t="s">
        <v>60</v>
      </c>
      <c r="AV166" t="s">
        <v>96</v>
      </c>
      <c r="AW166" t="s">
        <v>60</v>
      </c>
      <c r="AX166" t="s">
        <v>96</v>
      </c>
      <c r="AY166" t="s">
        <v>837</v>
      </c>
    </row>
    <row r="167" spans="1:51" x14ac:dyDescent="0.75">
      <c r="A167" t="s">
        <v>930</v>
      </c>
      <c r="B167" t="s">
        <v>834</v>
      </c>
      <c r="C167" t="s">
        <v>835</v>
      </c>
      <c r="D167" t="s">
        <v>931</v>
      </c>
      <c r="E167" t="s">
        <v>932</v>
      </c>
      <c r="Q167" t="s">
        <v>63</v>
      </c>
      <c r="T167" t="s">
        <v>66</v>
      </c>
      <c r="U167">
        <v>2</v>
      </c>
      <c r="V167" t="s">
        <v>91</v>
      </c>
      <c r="W167" t="s">
        <v>79</v>
      </c>
      <c r="X167" t="s">
        <v>139</v>
      </c>
      <c r="Y167" t="s">
        <v>68</v>
      </c>
      <c r="Z167" t="s">
        <v>69</v>
      </c>
      <c r="AA167">
        <v>8.98</v>
      </c>
      <c r="AB167" t="s">
        <v>57</v>
      </c>
      <c r="AC167">
        <v>6</v>
      </c>
      <c r="AD167">
        <v>2.0085815890822056</v>
      </c>
      <c r="AE167" t="s">
        <v>933</v>
      </c>
      <c r="AF167">
        <v>29.54</v>
      </c>
      <c r="AG167">
        <v>6</v>
      </c>
      <c r="AH167">
        <v>3.9681733833087485</v>
      </c>
      <c r="AI167" t="s">
        <v>934</v>
      </c>
      <c r="AJ167" t="s">
        <v>72</v>
      </c>
      <c r="AK167">
        <v>6.0325116457710566</v>
      </c>
      <c r="AL167">
        <v>1.849633198181809</v>
      </c>
      <c r="AM167">
        <v>12</v>
      </c>
      <c r="AN167">
        <v>1</v>
      </c>
      <c r="AO167">
        <v>1.3600122051591335</v>
      </c>
      <c r="AP167">
        <v>4.4356305207313929</v>
      </c>
      <c r="AQ167">
        <v>3.3669367051242562</v>
      </c>
      <c r="AR167">
        <v>8.6980865864178565</v>
      </c>
      <c r="AS167">
        <v>693</v>
      </c>
      <c r="AT167" t="s">
        <v>95</v>
      </c>
      <c r="AU167" t="s">
        <v>60</v>
      </c>
      <c r="AV167" t="s">
        <v>96</v>
      </c>
      <c r="AW167" t="s">
        <v>60</v>
      </c>
      <c r="AX167" t="s">
        <v>96</v>
      </c>
      <c r="AY167" t="s">
        <v>837</v>
      </c>
    </row>
    <row r="168" spans="1:51" x14ac:dyDescent="0.75">
      <c r="A168" t="s">
        <v>935</v>
      </c>
      <c r="B168" t="s">
        <v>834</v>
      </c>
      <c r="C168" t="s">
        <v>835</v>
      </c>
      <c r="D168" t="s">
        <v>936</v>
      </c>
      <c r="E168" t="s">
        <v>937</v>
      </c>
      <c r="F168" t="s">
        <v>56</v>
      </c>
      <c r="G168" t="s">
        <v>57</v>
      </c>
      <c r="H168" t="s">
        <v>119</v>
      </c>
      <c r="I168" t="s">
        <v>59</v>
      </c>
      <c r="O168" t="s">
        <v>61</v>
      </c>
      <c r="Q168" t="s">
        <v>63</v>
      </c>
      <c r="R168" t="s">
        <v>64</v>
      </c>
      <c r="S168" t="s">
        <v>65</v>
      </c>
      <c r="T168" t="s">
        <v>66</v>
      </c>
      <c r="U168">
        <v>1</v>
      </c>
      <c r="V168" t="s">
        <v>67</v>
      </c>
      <c r="W168" t="s">
        <v>79</v>
      </c>
      <c r="X168" t="s">
        <v>118</v>
      </c>
      <c r="Y168" t="s">
        <v>68</v>
      </c>
      <c r="Z168" t="s">
        <v>81</v>
      </c>
      <c r="AA168">
        <v>5.35</v>
      </c>
      <c r="AB168" t="s">
        <v>65</v>
      </c>
      <c r="AC168">
        <v>8</v>
      </c>
      <c r="AD168">
        <v>2.3475945135393377</v>
      </c>
      <c r="AE168" t="s">
        <v>571</v>
      </c>
      <c r="AF168">
        <v>18.03</v>
      </c>
      <c r="AG168">
        <v>8</v>
      </c>
      <c r="AH168">
        <v>5.6568542494923806</v>
      </c>
      <c r="AI168" t="s">
        <v>177</v>
      </c>
      <c r="AJ168" t="s">
        <v>72</v>
      </c>
      <c r="AK168">
        <v>2.7676922200339424</v>
      </c>
      <c r="AL168">
        <v>0.48937875702613787</v>
      </c>
      <c r="AM168">
        <v>16</v>
      </c>
      <c r="AN168">
        <v>1</v>
      </c>
      <c r="AO168">
        <v>0.69955611427971798</v>
      </c>
      <c r="AP168">
        <v>3.9563548420752976</v>
      </c>
      <c r="AQ168">
        <v>1.3965874308809092</v>
      </c>
      <c r="AR168">
        <v>4.1387970091869759</v>
      </c>
      <c r="AS168">
        <v>700</v>
      </c>
      <c r="AT168" t="s">
        <v>95</v>
      </c>
      <c r="AU168" t="s">
        <v>60</v>
      </c>
      <c r="AV168" t="s">
        <v>96</v>
      </c>
      <c r="AW168" t="s">
        <v>60</v>
      </c>
      <c r="AX168" t="s">
        <v>96</v>
      </c>
      <c r="AY168" t="s">
        <v>837</v>
      </c>
    </row>
    <row r="169" spans="1:51" x14ac:dyDescent="0.75">
      <c r="A169" t="s">
        <v>938</v>
      </c>
      <c r="B169" t="s">
        <v>834</v>
      </c>
      <c r="C169" t="s">
        <v>835</v>
      </c>
      <c r="D169" t="s">
        <v>939</v>
      </c>
      <c r="E169" t="s">
        <v>940</v>
      </c>
      <c r="H169" t="s">
        <v>119</v>
      </c>
      <c r="I169" t="s">
        <v>80</v>
      </c>
      <c r="Q169" t="s">
        <v>63</v>
      </c>
      <c r="R169" t="s">
        <v>64</v>
      </c>
      <c r="T169" t="s">
        <v>66</v>
      </c>
      <c r="U169">
        <v>1</v>
      </c>
      <c r="V169" t="s">
        <v>91</v>
      </c>
      <c r="W169" t="s">
        <v>79</v>
      </c>
      <c r="X169" t="s">
        <v>139</v>
      </c>
      <c r="Y169" t="s">
        <v>68</v>
      </c>
      <c r="Z169" t="s">
        <v>69</v>
      </c>
      <c r="AA169">
        <v>12.74</v>
      </c>
      <c r="AB169" t="s">
        <v>65</v>
      </c>
      <c r="AC169">
        <v>8</v>
      </c>
      <c r="AD169">
        <v>1.4424978336205572</v>
      </c>
      <c r="AE169" t="s">
        <v>941</v>
      </c>
      <c r="AF169">
        <v>37.06</v>
      </c>
      <c r="AG169">
        <v>8</v>
      </c>
      <c r="AH169">
        <v>5.4871486220076093</v>
      </c>
      <c r="AI169" t="s">
        <v>942</v>
      </c>
      <c r="AJ169" t="s">
        <v>72</v>
      </c>
      <c r="AK169">
        <v>5.730398161562154</v>
      </c>
      <c r="AL169">
        <v>1.2761707215635911</v>
      </c>
      <c r="AM169">
        <v>16</v>
      </c>
      <c r="AN169">
        <v>1</v>
      </c>
      <c r="AO169">
        <v>1.1296772643386213</v>
      </c>
      <c r="AP169">
        <v>5.0725975838037796</v>
      </c>
      <c r="AQ169">
        <v>3.5162714093047223</v>
      </c>
      <c r="AR169">
        <v>7.9445249138195857</v>
      </c>
      <c r="AS169">
        <v>717</v>
      </c>
      <c r="AT169" t="s">
        <v>95</v>
      </c>
      <c r="AU169" t="s">
        <v>60</v>
      </c>
      <c r="AV169" t="s">
        <v>96</v>
      </c>
      <c r="AW169" t="s">
        <v>60</v>
      </c>
      <c r="AX169" t="s">
        <v>96</v>
      </c>
      <c r="AY169" t="s">
        <v>837</v>
      </c>
    </row>
    <row r="170" spans="1:51" x14ac:dyDescent="0.75">
      <c r="A170" t="s">
        <v>943</v>
      </c>
      <c r="B170" t="s">
        <v>834</v>
      </c>
      <c r="C170" t="s">
        <v>835</v>
      </c>
      <c r="D170" t="s">
        <v>944</v>
      </c>
      <c r="E170" t="s">
        <v>945</v>
      </c>
      <c r="F170" t="s">
        <v>56</v>
      </c>
      <c r="G170" t="s">
        <v>692</v>
      </c>
      <c r="H170" t="s">
        <v>946</v>
      </c>
      <c r="I170" t="s">
        <v>189</v>
      </c>
      <c r="J170" t="s">
        <v>947</v>
      </c>
      <c r="L170" t="s">
        <v>60</v>
      </c>
      <c r="Q170" t="s">
        <v>102</v>
      </c>
      <c r="R170" t="s">
        <v>64</v>
      </c>
      <c r="S170" t="s">
        <v>219</v>
      </c>
      <c r="T170" t="s">
        <v>66</v>
      </c>
      <c r="U170">
        <v>2</v>
      </c>
      <c r="V170" t="s">
        <v>91</v>
      </c>
      <c r="W170" t="s">
        <v>79</v>
      </c>
      <c r="X170" t="s">
        <v>92</v>
      </c>
      <c r="Y170" t="s">
        <v>68</v>
      </c>
      <c r="Z170" t="s">
        <v>69</v>
      </c>
      <c r="AA170">
        <v>24.2</v>
      </c>
      <c r="AB170" t="s">
        <v>65</v>
      </c>
      <c r="AC170">
        <v>8</v>
      </c>
      <c r="AD170">
        <v>9.6449364953845098</v>
      </c>
      <c r="AE170" t="s">
        <v>948</v>
      </c>
      <c r="AF170">
        <v>24.15</v>
      </c>
      <c r="AG170">
        <v>8</v>
      </c>
      <c r="AH170">
        <v>12.133952365161157</v>
      </c>
      <c r="AI170" t="s">
        <v>949</v>
      </c>
      <c r="AJ170" t="s">
        <v>102</v>
      </c>
      <c r="AK170">
        <v>-4.312314784015025E-3</v>
      </c>
      <c r="AL170">
        <v>0.25000058112683737</v>
      </c>
      <c r="AM170">
        <v>16</v>
      </c>
      <c r="AN170">
        <v>1</v>
      </c>
      <c r="AO170">
        <v>0.5000005811264997</v>
      </c>
      <c r="AP170">
        <v>-8.6246195440401168E-3</v>
      </c>
      <c r="AQ170">
        <v>-0.98429544604105179</v>
      </c>
      <c r="AR170">
        <v>0.97567081647302167</v>
      </c>
      <c r="AS170">
        <v>725</v>
      </c>
      <c r="AT170" t="s">
        <v>73</v>
      </c>
      <c r="AU170" t="s">
        <v>60</v>
      </c>
      <c r="AV170" t="s">
        <v>74</v>
      </c>
      <c r="AW170" t="s">
        <v>74</v>
      </c>
      <c r="AX170" t="s">
        <v>84</v>
      </c>
      <c r="AY170" t="s">
        <v>837</v>
      </c>
    </row>
    <row r="171" spans="1:51" x14ac:dyDescent="0.75">
      <c r="A171" t="s">
        <v>950</v>
      </c>
      <c r="B171" t="s">
        <v>834</v>
      </c>
      <c r="C171" t="s">
        <v>835</v>
      </c>
      <c r="D171" t="s">
        <v>317</v>
      </c>
      <c r="E171" t="s">
        <v>318</v>
      </c>
      <c r="F171" t="s">
        <v>56</v>
      </c>
      <c r="G171" t="s">
        <v>69</v>
      </c>
      <c r="H171" t="s">
        <v>137</v>
      </c>
      <c r="L171" t="s">
        <v>60</v>
      </c>
      <c r="Q171" t="s">
        <v>320</v>
      </c>
      <c r="R171" t="s">
        <v>103</v>
      </c>
      <c r="S171" t="s">
        <v>109</v>
      </c>
      <c r="T171" t="s">
        <v>66</v>
      </c>
      <c r="U171">
        <v>1</v>
      </c>
      <c r="V171" t="s">
        <v>91</v>
      </c>
      <c r="W171" t="s">
        <v>79</v>
      </c>
      <c r="X171" t="s">
        <v>80</v>
      </c>
      <c r="Y171" t="s">
        <v>68</v>
      </c>
      <c r="Z171" t="s">
        <v>69</v>
      </c>
      <c r="AA171">
        <v>11.97</v>
      </c>
      <c r="AB171" t="s">
        <v>69</v>
      </c>
      <c r="AC171">
        <v>5</v>
      </c>
      <c r="AD171">
        <v>4.1814471179246073</v>
      </c>
      <c r="AE171" t="s">
        <v>951</v>
      </c>
      <c r="AF171">
        <v>21.12</v>
      </c>
      <c r="AG171">
        <v>5</v>
      </c>
      <c r="AH171">
        <v>5.2547597471245062</v>
      </c>
      <c r="AI171" t="s">
        <v>258</v>
      </c>
      <c r="AJ171" t="s">
        <v>74</v>
      </c>
      <c r="AK171">
        <v>1.7394314260068751</v>
      </c>
      <c r="AL171">
        <v>0.55128108428901557</v>
      </c>
      <c r="AM171">
        <v>10</v>
      </c>
      <c r="AN171">
        <v>1</v>
      </c>
      <c r="AO171">
        <v>0.74248305319987984</v>
      </c>
      <c r="AP171">
        <v>2.3427220574401613</v>
      </c>
      <c r="AQ171">
        <v>0.28419138260377386</v>
      </c>
      <c r="AR171">
        <v>3.1946714694099763</v>
      </c>
      <c r="AS171">
        <v>795</v>
      </c>
      <c r="AT171" t="s">
        <v>95</v>
      </c>
      <c r="AU171" t="s">
        <v>60</v>
      </c>
      <c r="AV171" t="s">
        <v>74</v>
      </c>
      <c r="AW171" t="s">
        <v>74</v>
      </c>
      <c r="AX171" t="s">
        <v>74</v>
      </c>
      <c r="AY171" t="s">
        <v>74</v>
      </c>
    </row>
    <row r="172" spans="1:51" x14ac:dyDescent="0.75">
      <c r="A172" t="s">
        <v>952</v>
      </c>
      <c r="B172" t="s">
        <v>834</v>
      </c>
      <c r="C172" t="s">
        <v>835</v>
      </c>
      <c r="D172" t="s">
        <v>953</v>
      </c>
      <c r="E172" t="s">
        <v>954</v>
      </c>
      <c r="H172" t="s">
        <v>137</v>
      </c>
      <c r="I172" t="s">
        <v>80</v>
      </c>
      <c r="K172" t="s">
        <v>78</v>
      </c>
      <c r="Q172" t="s">
        <v>63</v>
      </c>
      <c r="R172" t="s">
        <v>64</v>
      </c>
      <c r="T172" t="s">
        <v>66</v>
      </c>
      <c r="U172">
        <v>1</v>
      </c>
      <c r="V172" t="s">
        <v>91</v>
      </c>
      <c r="W172" t="s">
        <v>79</v>
      </c>
      <c r="X172" t="s">
        <v>139</v>
      </c>
      <c r="Y172" t="s">
        <v>68</v>
      </c>
      <c r="Z172" t="s">
        <v>69</v>
      </c>
      <c r="AA172">
        <v>42.4</v>
      </c>
      <c r="AB172" t="s">
        <v>51</v>
      </c>
      <c r="AC172">
        <v>10</v>
      </c>
      <c r="AD172">
        <v>2.9092954473549093</v>
      </c>
      <c r="AE172" t="s">
        <v>955</v>
      </c>
      <c r="AF172">
        <v>12.2</v>
      </c>
      <c r="AG172">
        <v>10</v>
      </c>
      <c r="AH172">
        <v>1.83412104289766</v>
      </c>
      <c r="AI172" t="s">
        <v>956</v>
      </c>
      <c r="AJ172" t="s">
        <v>72</v>
      </c>
      <c r="AK172">
        <v>-11.892453870479649</v>
      </c>
      <c r="AL172">
        <v>3.7357614765371596</v>
      </c>
      <c r="AM172">
        <v>20</v>
      </c>
      <c r="AN172">
        <v>1</v>
      </c>
      <c r="AO172">
        <v>1.9328118057734331</v>
      </c>
      <c r="AP172">
        <v>-6.1529290306258089</v>
      </c>
      <c r="AQ172">
        <v>-15.680695398689403</v>
      </c>
      <c r="AR172">
        <v>-8.1042123422698946</v>
      </c>
      <c r="AS172">
        <v>807</v>
      </c>
      <c r="AT172" t="s">
        <v>73</v>
      </c>
      <c r="AU172" t="s">
        <v>60</v>
      </c>
      <c r="AV172" t="s">
        <v>74</v>
      </c>
      <c r="AW172" t="s">
        <v>74</v>
      </c>
      <c r="AX172" t="s">
        <v>74</v>
      </c>
      <c r="AY172" t="s">
        <v>74</v>
      </c>
    </row>
    <row r="173" spans="1:51" x14ac:dyDescent="0.75">
      <c r="A173" t="s">
        <v>957</v>
      </c>
      <c r="B173" t="s">
        <v>834</v>
      </c>
      <c r="C173" t="s">
        <v>835</v>
      </c>
      <c r="D173" t="s">
        <v>329</v>
      </c>
      <c r="E173" t="s">
        <v>330</v>
      </c>
      <c r="H173" t="s">
        <v>128</v>
      </c>
      <c r="K173" t="s">
        <v>129</v>
      </c>
      <c r="Q173" t="s">
        <v>63</v>
      </c>
      <c r="R173" t="s">
        <v>103</v>
      </c>
      <c r="T173" t="s">
        <v>66</v>
      </c>
      <c r="U173">
        <v>1</v>
      </c>
      <c r="V173" t="s">
        <v>67</v>
      </c>
      <c r="W173" t="s">
        <v>79</v>
      </c>
      <c r="X173" t="s">
        <v>80</v>
      </c>
      <c r="Y173" t="s">
        <v>68</v>
      </c>
      <c r="Z173" t="s">
        <v>69</v>
      </c>
      <c r="AA173">
        <v>5.2</v>
      </c>
      <c r="AB173" t="s">
        <v>69</v>
      </c>
      <c r="AC173">
        <v>5</v>
      </c>
      <c r="AD173">
        <v>0.82734515167492217</v>
      </c>
      <c r="AE173" t="s">
        <v>958</v>
      </c>
      <c r="AF173">
        <v>2.4</v>
      </c>
      <c r="AG173">
        <v>5</v>
      </c>
      <c r="AH173">
        <v>0.89442719099991597</v>
      </c>
      <c r="AI173" t="s">
        <v>959</v>
      </c>
      <c r="AJ173" t="s">
        <v>72</v>
      </c>
      <c r="AK173">
        <v>-2.9337829109575706</v>
      </c>
      <c r="AL173">
        <v>0.83035410843133395</v>
      </c>
      <c r="AM173">
        <v>10</v>
      </c>
      <c r="AN173">
        <v>1</v>
      </c>
      <c r="AO173">
        <v>0.91123767944007561</v>
      </c>
      <c r="AP173">
        <v>-3.2195583843287516</v>
      </c>
      <c r="AQ173">
        <v>-4.7197759440159732</v>
      </c>
      <c r="AR173">
        <v>-1.1477898778991678</v>
      </c>
      <c r="AS173">
        <v>815</v>
      </c>
      <c r="AT173" t="s">
        <v>73</v>
      </c>
      <c r="AU173" t="s">
        <v>60</v>
      </c>
      <c r="AV173" t="s">
        <v>74</v>
      </c>
      <c r="AW173" t="s">
        <v>74</v>
      </c>
      <c r="AX173" t="s">
        <v>84</v>
      </c>
      <c r="AY173" t="s">
        <v>837</v>
      </c>
    </row>
    <row r="174" spans="1:51" x14ac:dyDescent="0.75">
      <c r="A174" t="s">
        <v>960</v>
      </c>
      <c r="B174" t="s">
        <v>834</v>
      </c>
      <c r="C174" t="s">
        <v>835</v>
      </c>
      <c r="D174" t="s">
        <v>961</v>
      </c>
      <c r="E174" t="s">
        <v>962</v>
      </c>
      <c r="H174" t="s">
        <v>137</v>
      </c>
      <c r="I174" t="s">
        <v>189</v>
      </c>
      <c r="L174" t="s">
        <v>60</v>
      </c>
      <c r="Q174" t="s">
        <v>63</v>
      </c>
      <c r="R174" t="s">
        <v>64</v>
      </c>
      <c r="T174" t="s">
        <v>66</v>
      </c>
      <c r="U174">
        <v>1</v>
      </c>
      <c r="V174" t="s">
        <v>91</v>
      </c>
      <c r="W174" t="s">
        <v>79</v>
      </c>
      <c r="X174" t="s">
        <v>80</v>
      </c>
      <c r="Y174" t="s">
        <v>68</v>
      </c>
      <c r="Z174" t="s">
        <v>69</v>
      </c>
      <c r="AA174">
        <v>30</v>
      </c>
      <c r="AB174" t="s">
        <v>69</v>
      </c>
      <c r="AC174">
        <v>5</v>
      </c>
      <c r="AD174">
        <v>1.5652475842498528</v>
      </c>
      <c r="AE174" t="s">
        <v>963</v>
      </c>
      <c r="AF174">
        <v>62.8</v>
      </c>
      <c r="AG174">
        <v>5</v>
      </c>
      <c r="AH174">
        <v>1.6323296235748466</v>
      </c>
      <c r="AI174" t="s">
        <v>964</v>
      </c>
      <c r="AJ174" t="s">
        <v>72</v>
      </c>
      <c r="AK174">
        <v>18.515365789065047</v>
      </c>
      <c r="AL174">
        <v>17.540938515144017</v>
      </c>
      <c r="AM174">
        <v>10</v>
      </c>
      <c r="AN174">
        <v>1</v>
      </c>
      <c r="AO174">
        <v>4.1881903628111292</v>
      </c>
      <c r="AP174">
        <v>4.420851056215473</v>
      </c>
      <c r="AQ174">
        <v>10.306663517557492</v>
      </c>
      <c r="AR174">
        <v>26.724068060572602</v>
      </c>
      <c r="AS174">
        <v>857</v>
      </c>
      <c r="AT174" t="s">
        <v>95</v>
      </c>
      <c r="AU174" t="s">
        <v>60</v>
      </c>
      <c r="AV174" t="s">
        <v>96</v>
      </c>
      <c r="AW174" t="s">
        <v>60</v>
      </c>
      <c r="AX174" t="s">
        <v>96</v>
      </c>
      <c r="AY174" t="s">
        <v>837</v>
      </c>
    </row>
    <row r="175" spans="1:51" x14ac:dyDescent="0.75">
      <c r="A175" t="s">
        <v>965</v>
      </c>
      <c r="B175" t="s">
        <v>834</v>
      </c>
      <c r="C175" t="s">
        <v>835</v>
      </c>
      <c r="D175" t="s">
        <v>966</v>
      </c>
      <c r="E175" t="s">
        <v>967</v>
      </c>
      <c r="F175" t="s">
        <v>56</v>
      </c>
      <c r="G175" t="s">
        <v>92</v>
      </c>
      <c r="H175" t="s">
        <v>137</v>
      </c>
      <c r="Q175" t="s">
        <v>63</v>
      </c>
      <c r="R175" t="s">
        <v>64</v>
      </c>
      <c r="T175" t="s">
        <v>66</v>
      </c>
      <c r="U175">
        <v>1</v>
      </c>
      <c r="V175" t="s">
        <v>67</v>
      </c>
      <c r="W175" t="s">
        <v>79</v>
      </c>
      <c r="X175" t="s">
        <v>80</v>
      </c>
      <c r="Y175" t="s">
        <v>68</v>
      </c>
      <c r="Z175" t="s">
        <v>69</v>
      </c>
      <c r="AA175">
        <v>44.67</v>
      </c>
      <c r="AB175" t="s">
        <v>219</v>
      </c>
      <c r="AC175">
        <v>9</v>
      </c>
      <c r="AD175">
        <v>10.95</v>
      </c>
      <c r="AE175" t="s">
        <v>968</v>
      </c>
      <c r="AF175">
        <v>30.86</v>
      </c>
      <c r="AG175">
        <v>9</v>
      </c>
      <c r="AH175">
        <v>7.2900000000000009</v>
      </c>
      <c r="AI175" t="s">
        <v>969</v>
      </c>
      <c r="AJ175" t="s">
        <v>72</v>
      </c>
      <c r="AK175">
        <v>-1.4137736119794697</v>
      </c>
      <c r="AL175">
        <v>0.27774321738692986</v>
      </c>
      <c r="AM175">
        <v>18</v>
      </c>
      <c r="AN175">
        <v>1</v>
      </c>
      <c r="AO175">
        <v>0.52701348880928078</v>
      </c>
      <c r="AP175">
        <v>-2.6826137129311611</v>
      </c>
      <c r="AQ175">
        <v>-2.4467010694124625</v>
      </c>
      <c r="AR175">
        <v>-0.38084615454647675</v>
      </c>
      <c r="AS175">
        <v>878</v>
      </c>
      <c r="AT175" t="s">
        <v>73</v>
      </c>
      <c r="AU175" t="s">
        <v>60</v>
      </c>
      <c r="AV175" t="s">
        <v>74</v>
      </c>
      <c r="AW175" t="s">
        <v>74</v>
      </c>
      <c r="AX175" t="s">
        <v>74</v>
      </c>
      <c r="AY175" t="s">
        <v>837</v>
      </c>
    </row>
    <row r="176" spans="1:51" x14ac:dyDescent="0.75">
      <c r="A176" t="s">
        <v>970</v>
      </c>
      <c r="B176" t="s">
        <v>834</v>
      </c>
      <c r="C176" t="s">
        <v>835</v>
      </c>
      <c r="D176" t="s">
        <v>971</v>
      </c>
      <c r="E176" t="s">
        <v>972</v>
      </c>
      <c r="H176" t="s">
        <v>92</v>
      </c>
      <c r="Q176" t="s">
        <v>307</v>
      </c>
      <c r="T176" t="s">
        <v>66</v>
      </c>
      <c r="U176">
        <v>1</v>
      </c>
      <c r="V176" t="s">
        <v>91</v>
      </c>
      <c r="Y176" t="s">
        <v>68</v>
      </c>
      <c r="Z176" t="s">
        <v>69</v>
      </c>
      <c r="AA176">
        <v>17.55</v>
      </c>
      <c r="AB176" t="s">
        <v>69</v>
      </c>
      <c r="AC176">
        <v>5</v>
      </c>
      <c r="AD176">
        <v>2.2807893370497858</v>
      </c>
      <c r="AE176" t="s">
        <v>973</v>
      </c>
      <c r="AF176">
        <v>5.51</v>
      </c>
      <c r="AG176">
        <v>5</v>
      </c>
      <c r="AH176">
        <v>1.6546903033498443</v>
      </c>
      <c r="AI176" t="s">
        <v>974</v>
      </c>
      <c r="AJ176" t="s">
        <v>74</v>
      </c>
      <c r="AK176">
        <v>-5.4547679468745311</v>
      </c>
      <c r="AL176">
        <v>1.8877246677124893</v>
      </c>
      <c r="AM176">
        <v>10</v>
      </c>
      <c r="AN176">
        <v>1</v>
      </c>
      <c r="AO176">
        <v>1.3739449289227312</v>
      </c>
      <c r="AP176">
        <v>-3.9701503546808459</v>
      </c>
      <c r="AQ176">
        <v>-8.1476505243045274</v>
      </c>
      <c r="AR176">
        <v>-2.761885369444534</v>
      </c>
      <c r="AS176">
        <v>944</v>
      </c>
      <c r="AT176" t="s">
        <v>73</v>
      </c>
      <c r="AU176" t="s">
        <v>60</v>
      </c>
      <c r="AV176" t="s">
        <v>74</v>
      </c>
      <c r="AW176" t="s">
        <v>68</v>
      </c>
      <c r="AX176" t="s">
        <v>74</v>
      </c>
      <c r="AY176" t="s">
        <v>837</v>
      </c>
    </row>
    <row r="177" spans="1:51" x14ac:dyDescent="0.75">
      <c r="A177" t="s">
        <v>975</v>
      </c>
      <c r="B177" t="s">
        <v>834</v>
      </c>
      <c r="C177" t="s">
        <v>835</v>
      </c>
      <c r="D177" t="s">
        <v>976</v>
      </c>
      <c r="E177" t="s">
        <v>977</v>
      </c>
      <c r="F177" t="s">
        <v>56</v>
      </c>
      <c r="G177" t="s">
        <v>69</v>
      </c>
      <c r="H177" t="s">
        <v>137</v>
      </c>
      <c r="I177" t="s">
        <v>189</v>
      </c>
      <c r="Q177" t="s">
        <v>239</v>
      </c>
      <c r="R177" t="s">
        <v>64</v>
      </c>
      <c r="S177" t="s">
        <v>219</v>
      </c>
      <c r="T177" t="s">
        <v>66</v>
      </c>
      <c r="U177">
        <v>2</v>
      </c>
      <c r="V177" t="s">
        <v>91</v>
      </c>
      <c r="W177" t="s">
        <v>294</v>
      </c>
      <c r="Y177" t="s">
        <v>68</v>
      </c>
      <c r="Z177" t="s">
        <v>69</v>
      </c>
      <c r="AA177">
        <v>18.22</v>
      </c>
      <c r="AB177" t="s">
        <v>51</v>
      </c>
      <c r="AC177">
        <v>10</v>
      </c>
      <c r="AD177">
        <v>2.38</v>
      </c>
      <c r="AE177" t="s">
        <v>978</v>
      </c>
      <c r="AF177">
        <v>21.58</v>
      </c>
      <c r="AG177">
        <v>10</v>
      </c>
      <c r="AH177">
        <v>3.23</v>
      </c>
      <c r="AI177" t="s">
        <v>979</v>
      </c>
      <c r="AJ177" t="s">
        <v>239</v>
      </c>
      <c r="AK177">
        <v>1.1341825180315077</v>
      </c>
      <c r="AL177">
        <v>0.23215924960520729</v>
      </c>
      <c r="AM177">
        <v>20</v>
      </c>
      <c r="AN177">
        <v>1</v>
      </c>
      <c r="AO177">
        <v>0.48182906679154103</v>
      </c>
      <c r="AP177">
        <v>2.3539105384071846</v>
      </c>
      <c r="AQ177">
        <v>0.18981490041554328</v>
      </c>
      <c r="AR177">
        <v>2.0785501356474723</v>
      </c>
      <c r="AS177">
        <v>953</v>
      </c>
      <c r="AT177" t="s">
        <v>95</v>
      </c>
      <c r="AU177" t="s">
        <v>60</v>
      </c>
      <c r="AV177" t="s">
        <v>96</v>
      </c>
      <c r="AW177" t="s">
        <v>60</v>
      </c>
      <c r="AX177" t="s">
        <v>96</v>
      </c>
      <c r="AY177" t="s">
        <v>837</v>
      </c>
    </row>
    <row r="178" spans="1:51" x14ac:dyDescent="0.75">
      <c r="A178" t="s">
        <v>980</v>
      </c>
      <c r="B178" t="s">
        <v>834</v>
      </c>
      <c r="C178" t="s">
        <v>835</v>
      </c>
      <c r="D178" t="s">
        <v>981</v>
      </c>
      <c r="E178" t="s">
        <v>982</v>
      </c>
      <c r="F178" t="s">
        <v>56</v>
      </c>
      <c r="G178" t="s">
        <v>57</v>
      </c>
      <c r="Q178" t="s">
        <v>293</v>
      </c>
      <c r="S178" t="s">
        <v>109</v>
      </c>
      <c r="T178" t="s">
        <v>66</v>
      </c>
      <c r="U178">
        <v>0.3</v>
      </c>
      <c r="V178" t="s">
        <v>91</v>
      </c>
      <c r="W178" t="s">
        <v>79</v>
      </c>
      <c r="X178" t="s">
        <v>139</v>
      </c>
      <c r="Y178" t="s">
        <v>68</v>
      </c>
      <c r="Z178" t="s">
        <v>69</v>
      </c>
      <c r="AA178">
        <v>34.71</v>
      </c>
      <c r="AB178" t="s">
        <v>57</v>
      </c>
      <c r="AC178">
        <v>6</v>
      </c>
      <c r="AD178">
        <v>12.320933406199385</v>
      </c>
      <c r="AE178" t="s">
        <v>983</v>
      </c>
      <c r="AF178">
        <v>52.32</v>
      </c>
      <c r="AG178">
        <v>6</v>
      </c>
      <c r="AH178">
        <v>17.268902686621402</v>
      </c>
      <c r="AI178" t="s">
        <v>984</v>
      </c>
      <c r="AJ178" t="s">
        <v>293</v>
      </c>
      <c r="AK178">
        <v>1.0832787898133647</v>
      </c>
      <c r="AL178">
        <v>0.38222887235247949</v>
      </c>
      <c r="AM178">
        <v>12</v>
      </c>
      <c r="AN178">
        <v>1</v>
      </c>
      <c r="AO178">
        <v>0.61824661127456204</v>
      </c>
      <c r="AP178">
        <v>1.7521790982082437</v>
      </c>
      <c r="AQ178">
        <v>-0.12846230184871166</v>
      </c>
      <c r="AR178">
        <v>2.295019881475441</v>
      </c>
      <c r="AS178">
        <v>964</v>
      </c>
      <c r="AT178" t="s">
        <v>95</v>
      </c>
      <c r="AU178" t="s">
        <v>60</v>
      </c>
      <c r="AV178" t="s">
        <v>74</v>
      </c>
      <c r="AW178" t="s">
        <v>60</v>
      </c>
      <c r="AX178" t="s">
        <v>96</v>
      </c>
      <c r="AY178" t="s">
        <v>837</v>
      </c>
    </row>
    <row r="179" spans="1:51" x14ac:dyDescent="0.75">
      <c r="A179" t="s">
        <v>985</v>
      </c>
      <c r="B179" t="s">
        <v>834</v>
      </c>
      <c r="C179" t="s">
        <v>835</v>
      </c>
      <c r="D179" t="s">
        <v>986</v>
      </c>
      <c r="E179" t="s">
        <v>987</v>
      </c>
      <c r="H179" t="s">
        <v>119</v>
      </c>
      <c r="I179" t="s">
        <v>80</v>
      </c>
      <c r="K179" t="s">
        <v>78</v>
      </c>
      <c r="Q179" t="s">
        <v>307</v>
      </c>
      <c r="R179" t="s">
        <v>64</v>
      </c>
      <c r="T179" t="s">
        <v>66</v>
      </c>
      <c r="U179">
        <v>2</v>
      </c>
      <c r="V179" t="s">
        <v>91</v>
      </c>
      <c r="W179" t="s">
        <v>79</v>
      </c>
      <c r="X179" t="s">
        <v>139</v>
      </c>
      <c r="Y179" t="s">
        <v>68</v>
      </c>
      <c r="Z179" t="s">
        <v>69</v>
      </c>
      <c r="AA179">
        <v>8.83</v>
      </c>
      <c r="AB179" t="s">
        <v>57</v>
      </c>
      <c r="AC179">
        <v>6</v>
      </c>
      <c r="AD179">
        <v>2.2290356659326918</v>
      </c>
      <c r="AE179" t="s">
        <v>988</v>
      </c>
      <c r="AF179">
        <v>32.17</v>
      </c>
      <c r="AG179">
        <v>6</v>
      </c>
      <c r="AH179">
        <v>5.4133723315508231</v>
      </c>
      <c r="AI179" t="s">
        <v>989</v>
      </c>
      <c r="AJ179" t="s">
        <v>74</v>
      </c>
      <c r="AK179">
        <v>5.2026008634694607</v>
      </c>
      <c r="AL179">
        <v>1.461127322690549</v>
      </c>
      <c r="AM179">
        <v>12</v>
      </c>
      <c r="AN179">
        <v>1</v>
      </c>
      <c r="AO179">
        <v>1.2087709967940781</v>
      </c>
      <c r="AP179">
        <v>4.3040417724017885</v>
      </c>
      <c r="AQ179">
        <v>2.833453244196487</v>
      </c>
      <c r="AR179">
        <v>7.5717484827424339</v>
      </c>
      <c r="AS179">
        <v>987</v>
      </c>
      <c r="AT179" t="s">
        <v>95</v>
      </c>
      <c r="AU179" t="s">
        <v>60</v>
      </c>
      <c r="AV179" t="s">
        <v>74</v>
      </c>
      <c r="AW179" t="s">
        <v>60</v>
      </c>
      <c r="AX179" t="s">
        <v>96</v>
      </c>
      <c r="AY179" t="s">
        <v>837</v>
      </c>
    </row>
    <row r="180" spans="1:51" x14ac:dyDescent="0.75">
      <c r="A180" t="s">
        <v>990</v>
      </c>
      <c r="B180" t="s">
        <v>834</v>
      </c>
      <c r="C180" t="s">
        <v>835</v>
      </c>
      <c r="D180" t="s">
        <v>991</v>
      </c>
      <c r="E180" t="s">
        <v>992</v>
      </c>
      <c r="F180" t="s">
        <v>56</v>
      </c>
      <c r="G180" t="s">
        <v>692</v>
      </c>
      <c r="H180" t="s">
        <v>137</v>
      </c>
      <c r="I180" t="s">
        <v>232</v>
      </c>
      <c r="Q180" t="s">
        <v>307</v>
      </c>
      <c r="R180" t="s">
        <v>64</v>
      </c>
      <c r="T180" t="s">
        <v>66</v>
      </c>
      <c r="U180">
        <v>1</v>
      </c>
      <c r="V180" t="s">
        <v>67</v>
      </c>
      <c r="Y180" t="s">
        <v>68</v>
      </c>
      <c r="Z180" t="s">
        <v>69</v>
      </c>
      <c r="AA180">
        <v>30.9</v>
      </c>
      <c r="AB180" t="s">
        <v>78</v>
      </c>
      <c r="AC180">
        <v>7</v>
      </c>
      <c r="AD180">
        <v>28.838689290604041</v>
      </c>
      <c r="AE180" t="s">
        <v>993</v>
      </c>
      <c r="AF180">
        <v>58.2</v>
      </c>
      <c r="AG180">
        <v>7</v>
      </c>
      <c r="AH180">
        <v>28.309539028391118</v>
      </c>
      <c r="AI180" t="s">
        <v>994</v>
      </c>
      <c r="AJ180" t="s">
        <v>74</v>
      </c>
      <c r="AK180">
        <v>0.89417003063907974</v>
      </c>
      <c r="AL180">
        <v>0.31426928727475328</v>
      </c>
      <c r="AM180">
        <v>14</v>
      </c>
      <c r="AN180">
        <v>1</v>
      </c>
      <c r="AO180">
        <v>0.56059725942493988</v>
      </c>
      <c r="AP180">
        <v>1.595031041636412</v>
      </c>
      <c r="AQ180">
        <v>-0.20458040766565977</v>
      </c>
      <c r="AR180">
        <v>1.9929204689438191</v>
      </c>
      <c r="AS180">
        <v>998</v>
      </c>
      <c r="AT180" t="s">
        <v>95</v>
      </c>
      <c r="AU180" t="s">
        <v>60</v>
      </c>
      <c r="AV180" t="s">
        <v>74</v>
      </c>
      <c r="AW180" t="s">
        <v>60</v>
      </c>
      <c r="AX180" t="s">
        <v>96</v>
      </c>
      <c r="AY180" t="s">
        <v>837</v>
      </c>
    </row>
    <row r="181" spans="1:51" x14ac:dyDescent="0.75">
      <c r="A181" t="s">
        <v>995</v>
      </c>
      <c r="B181" t="s">
        <v>834</v>
      </c>
      <c r="C181" t="s">
        <v>835</v>
      </c>
      <c r="D181" t="s">
        <v>360</v>
      </c>
      <c r="E181" t="s">
        <v>361</v>
      </c>
      <c r="P181" t="s">
        <v>362</v>
      </c>
      <c r="Q181" t="s">
        <v>63</v>
      </c>
      <c r="R181" t="s">
        <v>64</v>
      </c>
      <c r="T181" t="s">
        <v>66</v>
      </c>
      <c r="U181">
        <v>2</v>
      </c>
      <c r="V181" t="s">
        <v>91</v>
      </c>
      <c r="W181" t="s">
        <v>79</v>
      </c>
      <c r="X181" t="s">
        <v>139</v>
      </c>
      <c r="Y181" t="s">
        <v>68</v>
      </c>
      <c r="Z181" t="s">
        <v>69</v>
      </c>
      <c r="AA181">
        <v>27.82</v>
      </c>
      <c r="AB181" t="s">
        <v>69</v>
      </c>
      <c r="AC181">
        <v>5</v>
      </c>
      <c r="AD181">
        <v>4.0025616797246242</v>
      </c>
      <c r="AE181" t="s">
        <v>996</v>
      </c>
      <c r="AF181">
        <v>8.56</v>
      </c>
      <c r="AG181">
        <v>5</v>
      </c>
      <c r="AH181">
        <v>2.6832815729997503</v>
      </c>
      <c r="AI181" t="s">
        <v>997</v>
      </c>
      <c r="AJ181" t="s">
        <v>72</v>
      </c>
      <c r="AK181">
        <v>-5.1024709804793345</v>
      </c>
      <c r="AL181">
        <v>1.7017605053316869</v>
      </c>
      <c r="AM181">
        <v>10</v>
      </c>
      <c r="AN181">
        <v>1</v>
      </c>
      <c r="AO181">
        <v>1.304515429319135</v>
      </c>
      <c r="AP181">
        <v>-3.9113918209020069</v>
      </c>
      <c r="AQ181">
        <v>-7.6592742392216451</v>
      </c>
      <c r="AR181">
        <v>-2.5456677217370238</v>
      </c>
      <c r="AS181">
        <v>1032</v>
      </c>
      <c r="AT181" t="s">
        <v>73</v>
      </c>
      <c r="AU181" t="s">
        <v>60</v>
      </c>
      <c r="AV181" t="s">
        <v>74</v>
      </c>
      <c r="AW181" t="s">
        <v>74</v>
      </c>
      <c r="AX181" t="s">
        <v>84</v>
      </c>
      <c r="AY181" t="s">
        <v>837</v>
      </c>
    </row>
    <row r="182" spans="1:51" x14ac:dyDescent="0.75">
      <c r="A182" t="s">
        <v>998</v>
      </c>
      <c r="B182" t="s">
        <v>834</v>
      </c>
      <c r="C182" t="s">
        <v>835</v>
      </c>
      <c r="D182" t="s">
        <v>391</v>
      </c>
      <c r="E182" t="s">
        <v>392</v>
      </c>
      <c r="F182" t="s">
        <v>56</v>
      </c>
      <c r="G182" t="s">
        <v>51</v>
      </c>
      <c r="H182" t="s">
        <v>101</v>
      </c>
      <c r="Q182" t="s">
        <v>90</v>
      </c>
      <c r="R182" t="s">
        <v>64</v>
      </c>
      <c r="T182" t="s">
        <v>66</v>
      </c>
      <c r="U182">
        <v>0.1</v>
      </c>
      <c r="V182" t="s">
        <v>91</v>
      </c>
      <c r="W182" t="s">
        <v>79</v>
      </c>
      <c r="X182" t="s">
        <v>393</v>
      </c>
      <c r="Y182" t="s">
        <v>68</v>
      </c>
      <c r="Z182" t="s">
        <v>177</v>
      </c>
      <c r="AA182">
        <v>67.900000000000006</v>
      </c>
      <c r="AB182" t="s">
        <v>57</v>
      </c>
      <c r="AC182">
        <v>6</v>
      </c>
      <c r="AD182">
        <v>8.9406375611585993</v>
      </c>
      <c r="AE182" t="s">
        <v>968</v>
      </c>
      <c r="AF182">
        <v>41.4</v>
      </c>
      <c r="AG182">
        <v>6</v>
      </c>
      <c r="AH182">
        <v>12.590377277905533</v>
      </c>
      <c r="AI182" t="s">
        <v>140</v>
      </c>
      <c r="AJ182" t="s">
        <v>74</v>
      </c>
      <c r="AK182">
        <v>-2.2394523566588376</v>
      </c>
      <c r="AL182">
        <v>0.5422977857393676</v>
      </c>
      <c r="AM182">
        <v>12</v>
      </c>
      <c r="AN182">
        <v>1</v>
      </c>
      <c r="AO182">
        <v>0.73640870835383776</v>
      </c>
      <c r="AP182">
        <v>-3.0410454564896332</v>
      </c>
      <c r="AQ182">
        <v>-3.6827869029340201</v>
      </c>
      <c r="AR182">
        <v>-0.79611781038365526</v>
      </c>
      <c r="AS182">
        <v>1069</v>
      </c>
      <c r="AT182" t="s">
        <v>73</v>
      </c>
      <c r="AU182" t="s">
        <v>60</v>
      </c>
      <c r="AV182" t="s">
        <v>74</v>
      </c>
      <c r="AW182" t="s">
        <v>74</v>
      </c>
      <c r="AX182" t="s">
        <v>74</v>
      </c>
      <c r="AY182" t="s">
        <v>74</v>
      </c>
    </row>
    <row r="183" spans="1:51" x14ac:dyDescent="0.75">
      <c r="A183" t="s">
        <v>999</v>
      </c>
      <c r="B183" t="s">
        <v>834</v>
      </c>
      <c r="C183" t="s">
        <v>835</v>
      </c>
      <c r="D183" t="s">
        <v>1000</v>
      </c>
      <c r="F183" t="s">
        <v>56</v>
      </c>
      <c r="G183" t="s">
        <v>57</v>
      </c>
      <c r="H183" t="s">
        <v>137</v>
      </c>
      <c r="I183" t="s">
        <v>189</v>
      </c>
      <c r="Q183" t="s">
        <v>63</v>
      </c>
      <c r="R183" t="s">
        <v>64</v>
      </c>
      <c r="T183" t="s">
        <v>66</v>
      </c>
      <c r="U183">
        <v>2</v>
      </c>
      <c r="V183" t="s">
        <v>91</v>
      </c>
      <c r="W183" t="s">
        <v>79</v>
      </c>
      <c r="X183" t="s">
        <v>139</v>
      </c>
      <c r="Y183" t="s">
        <v>68</v>
      </c>
      <c r="Z183" t="s">
        <v>69</v>
      </c>
      <c r="AA183">
        <v>13.6</v>
      </c>
      <c r="AB183" t="s">
        <v>65</v>
      </c>
      <c r="AC183">
        <v>8</v>
      </c>
      <c r="AD183">
        <v>4.3274935008616708</v>
      </c>
      <c r="AE183" t="s">
        <v>1001</v>
      </c>
      <c r="AF183">
        <v>6.39</v>
      </c>
      <c r="AG183">
        <v>8</v>
      </c>
      <c r="AH183">
        <v>1.7819090885900997</v>
      </c>
      <c r="AI183" t="s">
        <v>1002</v>
      </c>
      <c r="AJ183" t="s">
        <v>72</v>
      </c>
      <c r="AK183">
        <v>-2.0595314578229327</v>
      </c>
      <c r="AL183">
        <v>0.38255218205507047</v>
      </c>
      <c r="AM183">
        <v>16</v>
      </c>
      <c r="AN183">
        <v>1</v>
      </c>
      <c r="AO183">
        <v>0.61850802909507208</v>
      </c>
      <c r="AP183">
        <v>-3.329837869422966</v>
      </c>
      <c r="AQ183">
        <v>-3.2717849189981258</v>
      </c>
      <c r="AR183">
        <v>-0.84727799664773973</v>
      </c>
      <c r="AS183">
        <v>1091</v>
      </c>
      <c r="AT183" t="s">
        <v>73</v>
      </c>
      <c r="AU183" t="s">
        <v>60</v>
      </c>
      <c r="AV183" t="s">
        <v>74</v>
      </c>
      <c r="AW183" t="s">
        <v>74</v>
      </c>
      <c r="AX183" t="s">
        <v>74</v>
      </c>
      <c r="AY183" t="s">
        <v>837</v>
      </c>
    </row>
    <row r="184" spans="1:51" x14ac:dyDescent="0.75">
      <c r="A184" t="s">
        <v>1003</v>
      </c>
      <c r="B184" t="s">
        <v>834</v>
      </c>
      <c r="C184" t="s">
        <v>835</v>
      </c>
      <c r="D184" t="s">
        <v>401</v>
      </c>
      <c r="E184" t="s">
        <v>402</v>
      </c>
      <c r="Q184" t="s">
        <v>63</v>
      </c>
      <c r="R184" t="s">
        <v>64</v>
      </c>
      <c r="T184" t="s">
        <v>66</v>
      </c>
      <c r="U184">
        <v>1</v>
      </c>
      <c r="V184" t="s">
        <v>91</v>
      </c>
      <c r="W184" t="s">
        <v>79</v>
      </c>
      <c r="X184" t="s">
        <v>139</v>
      </c>
      <c r="Y184" t="s">
        <v>68</v>
      </c>
      <c r="Z184" t="s">
        <v>69</v>
      </c>
      <c r="AA184">
        <v>27.53</v>
      </c>
      <c r="AB184" t="s">
        <v>69</v>
      </c>
      <c r="AC184">
        <v>5</v>
      </c>
      <c r="AD184">
        <v>4.4050539156745829</v>
      </c>
      <c r="AE184" t="s">
        <v>1004</v>
      </c>
      <c r="AF184">
        <v>10.63</v>
      </c>
      <c r="AG184">
        <v>5</v>
      </c>
      <c r="AH184">
        <v>4.1814471179246073</v>
      </c>
      <c r="AI184" t="s">
        <v>951</v>
      </c>
      <c r="AJ184" t="s">
        <v>72</v>
      </c>
      <c r="AK184">
        <v>-3.5522073419324864</v>
      </c>
      <c r="AL184">
        <v>1.0309088500039532</v>
      </c>
      <c r="AM184">
        <v>10</v>
      </c>
      <c r="AN184">
        <v>1</v>
      </c>
      <c r="AO184">
        <v>1.0153368160388714</v>
      </c>
      <c r="AP184">
        <v>-3.4985507132408493</v>
      </c>
      <c r="AQ184">
        <v>-5.5422309335462447</v>
      </c>
      <c r="AR184">
        <v>-1.5621837503187284</v>
      </c>
      <c r="AS184">
        <v>1108</v>
      </c>
      <c r="AT184" t="s">
        <v>73</v>
      </c>
      <c r="AU184" t="s">
        <v>60</v>
      </c>
      <c r="AV184" t="s">
        <v>74</v>
      </c>
      <c r="AW184" t="s">
        <v>74</v>
      </c>
      <c r="AX184" t="s">
        <v>84</v>
      </c>
      <c r="AY184" t="s">
        <v>837</v>
      </c>
    </row>
    <row r="185" spans="1:51" x14ac:dyDescent="0.75">
      <c r="A185" t="s">
        <v>1005</v>
      </c>
      <c r="B185" t="s">
        <v>834</v>
      </c>
      <c r="C185" t="s">
        <v>835</v>
      </c>
      <c r="D185" t="s">
        <v>1006</v>
      </c>
      <c r="E185" t="s">
        <v>1007</v>
      </c>
      <c r="H185" t="s">
        <v>137</v>
      </c>
      <c r="I185" t="s">
        <v>80</v>
      </c>
      <c r="K185" t="s">
        <v>129</v>
      </c>
      <c r="Q185" t="s">
        <v>63</v>
      </c>
      <c r="R185" t="s">
        <v>103</v>
      </c>
      <c r="T185" t="s">
        <v>66</v>
      </c>
      <c r="U185">
        <v>1</v>
      </c>
      <c r="V185" t="s">
        <v>67</v>
      </c>
      <c r="W185" t="s">
        <v>79</v>
      </c>
      <c r="X185" t="s">
        <v>139</v>
      </c>
      <c r="Y185" t="s">
        <v>68</v>
      </c>
      <c r="Z185" t="s">
        <v>69</v>
      </c>
      <c r="AA185">
        <v>44.8</v>
      </c>
      <c r="AB185" t="s">
        <v>69</v>
      </c>
      <c r="AC185">
        <v>5</v>
      </c>
      <c r="AD185">
        <v>2.7727242920997393</v>
      </c>
      <c r="AE185" t="s">
        <v>1008</v>
      </c>
      <c r="AF185">
        <v>29.6</v>
      </c>
      <c r="AG185">
        <v>5</v>
      </c>
      <c r="AH185">
        <v>2.0795432190748047</v>
      </c>
      <c r="AI185" t="s">
        <v>883</v>
      </c>
      <c r="AJ185" t="s">
        <v>72</v>
      </c>
      <c r="AK185">
        <v>-5.5986965812690794</v>
      </c>
      <c r="AL185">
        <v>1.9672701704557038</v>
      </c>
      <c r="AM185">
        <v>10</v>
      </c>
      <c r="AN185">
        <v>1</v>
      </c>
      <c r="AO185">
        <v>1.4025940861331563</v>
      </c>
      <c r="AP185">
        <v>-3.9916727416869797</v>
      </c>
      <c r="AQ185">
        <v>-8.3477304750189365</v>
      </c>
      <c r="AR185">
        <v>-2.8496626875192228</v>
      </c>
      <c r="AS185">
        <v>1115</v>
      </c>
      <c r="AT185" t="s">
        <v>73</v>
      </c>
      <c r="AU185" t="s">
        <v>60</v>
      </c>
      <c r="AV185" t="s">
        <v>84</v>
      </c>
      <c r="AW185" t="s">
        <v>60</v>
      </c>
      <c r="AX185" t="s">
        <v>84</v>
      </c>
      <c r="AY185" t="s">
        <v>837</v>
      </c>
    </row>
    <row r="186" spans="1:51" x14ac:dyDescent="0.75">
      <c r="A186" t="s">
        <v>1009</v>
      </c>
      <c r="B186" t="s">
        <v>834</v>
      </c>
      <c r="C186" t="s">
        <v>835</v>
      </c>
      <c r="D186" t="s">
        <v>1010</v>
      </c>
      <c r="E186" t="s">
        <v>1011</v>
      </c>
      <c r="F186" t="s">
        <v>56</v>
      </c>
      <c r="G186" t="s">
        <v>69</v>
      </c>
      <c r="H186" t="s">
        <v>137</v>
      </c>
      <c r="K186" t="s">
        <v>78</v>
      </c>
      <c r="Q186" t="s">
        <v>63</v>
      </c>
      <c r="R186" t="s">
        <v>103</v>
      </c>
      <c r="S186" t="s">
        <v>131</v>
      </c>
      <c r="T186" t="s">
        <v>66</v>
      </c>
      <c r="U186">
        <v>1</v>
      </c>
      <c r="V186" t="s">
        <v>91</v>
      </c>
      <c r="W186" t="s">
        <v>79</v>
      </c>
      <c r="X186" t="s">
        <v>139</v>
      </c>
      <c r="Y186" t="s">
        <v>68</v>
      </c>
      <c r="Z186" t="s">
        <v>69</v>
      </c>
      <c r="AA186">
        <v>28.3</v>
      </c>
      <c r="AB186" t="s">
        <v>57</v>
      </c>
      <c r="AC186">
        <v>6</v>
      </c>
      <c r="AD186">
        <v>1.8371173070873834</v>
      </c>
      <c r="AE186" t="s">
        <v>1012</v>
      </c>
      <c r="AF186">
        <v>66.8</v>
      </c>
      <c r="AG186">
        <v>6</v>
      </c>
      <c r="AH186">
        <v>3.1843366656181313</v>
      </c>
      <c r="AI186" t="s">
        <v>457</v>
      </c>
      <c r="AJ186" t="s">
        <v>72</v>
      </c>
      <c r="AK186">
        <v>13.666260321185039</v>
      </c>
      <c r="AL186">
        <v>8.1152779652665252</v>
      </c>
      <c r="AM186">
        <v>12</v>
      </c>
      <c r="AN186">
        <v>1</v>
      </c>
      <c r="AO186">
        <v>2.8487326945971123</v>
      </c>
      <c r="AP186">
        <v>4.7973122740172771</v>
      </c>
      <c r="AQ186">
        <v>8.0828468381929586</v>
      </c>
      <c r="AR186">
        <v>19.249673804177121</v>
      </c>
      <c r="AS186">
        <v>1122</v>
      </c>
      <c r="AT186" t="s">
        <v>95</v>
      </c>
      <c r="AU186" t="s">
        <v>60</v>
      </c>
      <c r="AV186" t="s">
        <v>74</v>
      </c>
      <c r="AW186" t="s">
        <v>74</v>
      </c>
      <c r="AX186" t="s">
        <v>74</v>
      </c>
      <c r="AY186" t="s">
        <v>74</v>
      </c>
    </row>
    <row r="187" spans="1:51" x14ac:dyDescent="0.75">
      <c r="A187" t="s">
        <v>1013</v>
      </c>
      <c r="B187" t="s">
        <v>834</v>
      </c>
      <c r="C187" t="s">
        <v>835</v>
      </c>
      <c r="D187" t="s">
        <v>416</v>
      </c>
      <c r="E187" t="s">
        <v>417</v>
      </c>
      <c r="H187" t="s">
        <v>92</v>
      </c>
      <c r="P187" t="s">
        <v>418</v>
      </c>
      <c r="Q187" t="s">
        <v>419</v>
      </c>
      <c r="R187" t="s">
        <v>64</v>
      </c>
      <c r="T187" t="s">
        <v>66</v>
      </c>
      <c r="U187">
        <v>2</v>
      </c>
      <c r="V187" t="s">
        <v>67</v>
      </c>
      <c r="W187" t="s">
        <v>79</v>
      </c>
      <c r="X187" t="s">
        <v>80</v>
      </c>
      <c r="Y187" t="s">
        <v>68</v>
      </c>
      <c r="Z187" t="s">
        <v>69</v>
      </c>
      <c r="AA187">
        <v>5.39</v>
      </c>
      <c r="AB187" t="s">
        <v>51</v>
      </c>
      <c r="AC187">
        <v>10</v>
      </c>
      <c r="AD187">
        <v>2.8460498941515415</v>
      </c>
      <c r="AE187" t="s">
        <v>1014</v>
      </c>
      <c r="AF187">
        <v>10.71</v>
      </c>
      <c r="AG187">
        <v>10</v>
      </c>
      <c r="AH187">
        <v>4.4271887242357311</v>
      </c>
      <c r="AI187" t="s">
        <v>414</v>
      </c>
      <c r="AJ187" t="s">
        <v>259</v>
      </c>
      <c r="AK187">
        <v>1.3689637185674657</v>
      </c>
      <c r="AL187">
        <v>0.24685154156885158</v>
      </c>
      <c r="AM187">
        <v>20</v>
      </c>
      <c r="AN187">
        <v>1</v>
      </c>
      <c r="AO187">
        <v>0.4968415658626516</v>
      </c>
      <c r="AP187">
        <v>2.7553325096513888</v>
      </c>
      <c r="AQ187">
        <v>0.3951721434541835</v>
      </c>
      <c r="AR187">
        <v>2.3427552936807476</v>
      </c>
      <c r="AS187">
        <v>1137</v>
      </c>
      <c r="AT187" t="s">
        <v>95</v>
      </c>
      <c r="AU187" t="s">
        <v>60</v>
      </c>
      <c r="AV187" t="s">
        <v>74</v>
      </c>
      <c r="AW187" t="s">
        <v>60</v>
      </c>
      <c r="AX187" t="s">
        <v>96</v>
      </c>
      <c r="AY187" t="s">
        <v>74</v>
      </c>
    </row>
    <row r="188" spans="1:51" x14ac:dyDescent="0.75">
      <c r="A188" t="s">
        <v>1015</v>
      </c>
      <c r="B188" t="s">
        <v>834</v>
      </c>
      <c r="C188" t="s">
        <v>835</v>
      </c>
      <c r="D188" t="s">
        <v>1016</v>
      </c>
      <c r="F188" t="s">
        <v>56</v>
      </c>
      <c r="G188" t="s">
        <v>92</v>
      </c>
      <c r="H188" t="s">
        <v>101</v>
      </c>
      <c r="L188" t="s">
        <v>60</v>
      </c>
      <c r="M188" t="s">
        <v>164</v>
      </c>
      <c r="N188" t="s">
        <v>139</v>
      </c>
      <c r="Q188" t="s">
        <v>1017</v>
      </c>
      <c r="R188" t="s">
        <v>64</v>
      </c>
      <c r="T188" t="s">
        <v>66</v>
      </c>
      <c r="U188">
        <v>0.5</v>
      </c>
      <c r="V188" t="s">
        <v>91</v>
      </c>
      <c r="W188" t="s">
        <v>79</v>
      </c>
      <c r="X188" t="s">
        <v>139</v>
      </c>
      <c r="Y188" t="s">
        <v>68</v>
      </c>
      <c r="Z188" t="s">
        <v>69</v>
      </c>
      <c r="AA188">
        <v>21.81</v>
      </c>
      <c r="AB188" t="s">
        <v>109</v>
      </c>
      <c r="AC188">
        <v>12</v>
      </c>
      <c r="AD188">
        <v>11.570099394560099</v>
      </c>
      <c r="AE188" t="s">
        <v>104</v>
      </c>
      <c r="AF188">
        <v>29.09</v>
      </c>
      <c r="AG188">
        <v>12</v>
      </c>
      <c r="AH188">
        <v>11.535458378408723</v>
      </c>
      <c r="AI188" t="s">
        <v>1018</v>
      </c>
      <c r="AJ188" t="s">
        <v>74</v>
      </c>
      <c r="AK188">
        <v>0.60837941814085661</v>
      </c>
      <c r="AL188">
        <v>0.17437761492536263</v>
      </c>
      <c r="AM188">
        <v>24</v>
      </c>
      <c r="AN188">
        <v>1</v>
      </c>
      <c r="AO188">
        <v>0.41758545823024373</v>
      </c>
      <c r="AP188">
        <v>1.4568979981228536</v>
      </c>
      <c r="AQ188">
        <v>-0.21007304045807607</v>
      </c>
      <c r="AR188">
        <v>1.4268318767397892</v>
      </c>
      <c r="AS188">
        <v>1205</v>
      </c>
      <c r="AT188" t="s">
        <v>95</v>
      </c>
      <c r="AU188" t="s">
        <v>60</v>
      </c>
      <c r="AV188" t="s">
        <v>74</v>
      </c>
      <c r="AW188" t="s">
        <v>74</v>
      </c>
      <c r="AX188" t="s">
        <v>74</v>
      </c>
      <c r="AY188" t="s">
        <v>837</v>
      </c>
    </row>
    <row r="189" spans="1:51" x14ac:dyDescent="0.75">
      <c r="A189" t="s">
        <v>1019</v>
      </c>
      <c r="B189" t="s">
        <v>834</v>
      </c>
      <c r="C189" t="s">
        <v>835</v>
      </c>
      <c r="D189" t="s">
        <v>1020</v>
      </c>
      <c r="E189" t="s">
        <v>1021</v>
      </c>
      <c r="H189" t="s">
        <v>128</v>
      </c>
      <c r="K189" t="s">
        <v>129</v>
      </c>
      <c r="Q189" t="s">
        <v>138</v>
      </c>
      <c r="R189" t="s">
        <v>103</v>
      </c>
      <c r="T189" t="s">
        <v>66</v>
      </c>
      <c r="U189">
        <v>1</v>
      </c>
      <c r="V189" t="s">
        <v>67</v>
      </c>
      <c r="W189" t="s">
        <v>79</v>
      </c>
      <c r="X189" t="s">
        <v>80</v>
      </c>
      <c r="Y189" t="s">
        <v>68</v>
      </c>
      <c r="Z189" t="s">
        <v>69</v>
      </c>
      <c r="AA189">
        <v>5</v>
      </c>
      <c r="AB189" t="s">
        <v>69</v>
      </c>
      <c r="AC189">
        <v>5</v>
      </c>
      <c r="AD189">
        <v>1.9901004999748129</v>
      </c>
      <c r="AE189" t="s">
        <v>1022</v>
      </c>
      <c r="AF189">
        <v>1.8</v>
      </c>
      <c r="AG189">
        <v>5</v>
      </c>
      <c r="AH189">
        <v>1.9230184606498193</v>
      </c>
      <c r="AI189" t="s">
        <v>1023</v>
      </c>
      <c r="AJ189" t="s">
        <v>74</v>
      </c>
      <c r="AK189">
        <v>-1.476176081312834</v>
      </c>
      <c r="AL189">
        <v>0.5089547911520057</v>
      </c>
      <c r="AM189">
        <v>10</v>
      </c>
      <c r="AN189">
        <v>1</v>
      </c>
      <c r="AO189">
        <v>0.71341067496359045</v>
      </c>
      <c r="AP189">
        <v>-2.0691813749327088</v>
      </c>
      <c r="AQ189">
        <v>-2.8744353104278817</v>
      </c>
      <c r="AR189">
        <v>-7.7916852197785991E-2</v>
      </c>
      <c r="AS189">
        <v>1252</v>
      </c>
      <c r="AT189" t="s">
        <v>73</v>
      </c>
      <c r="AU189" t="s">
        <v>60</v>
      </c>
      <c r="AV189" t="s">
        <v>74</v>
      </c>
      <c r="AW189" t="s">
        <v>74</v>
      </c>
      <c r="AX189" t="s">
        <v>84</v>
      </c>
      <c r="AY189" t="s">
        <v>837</v>
      </c>
    </row>
    <row r="190" spans="1:51" x14ac:dyDescent="0.75">
      <c r="A190" t="s">
        <v>1024</v>
      </c>
      <c r="B190" t="s">
        <v>834</v>
      </c>
      <c r="C190" t="s">
        <v>835</v>
      </c>
      <c r="D190" t="s">
        <v>477</v>
      </c>
      <c r="E190" t="s">
        <v>478</v>
      </c>
      <c r="P190" t="s">
        <v>479</v>
      </c>
      <c r="Q190" t="s">
        <v>63</v>
      </c>
      <c r="R190" t="s">
        <v>103</v>
      </c>
      <c r="T190" t="s">
        <v>66</v>
      </c>
      <c r="U190">
        <v>1</v>
      </c>
      <c r="V190" t="s">
        <v>67</v>
      </c>
      <c r="W190" t="s">
        <v>79</v>
      </c>
      <c r="X190" t="s">
        <v>80</v>
      </c>
      <c r="Y190" t="s">
        <v>68</v>
      </c>
      <c r="Z190" t="s">
        <v>81</v>
      </c>
      <c r="AA190">
        <v>18</v>
      </c>
      <c r="AB190" t="s">
        <v>69</v>
      </c>
      <c r="AC190">
        <v>5</v>
      </c>
      <c r="AD190">
        <v>1.5876082640248508</v>
      </c>
      <c r="AE190" t="s">
        <v>1025</v>
      </c>
      <c r="AF190">
        <v>8.4</v>
      </c>
      <c r="AG190">
        <v>5</v>
      </c>
      <c r="AH190">
        <v>1.1403946685248929</v>
      </c>
      <c r="AI190" t="s">
        <v>941</v>
      </c>
      <c r="AJ190" t="s">
        <v>72</v>
      </c>
      <c r="AK190">
        <v>-6.2696422201671096</v>
      </c>
      <c r="AL190">
        <v>2.3654206784450982</v>
      </c>
      <c r="AM190">
        <v>10</v>
      </c>
      <c r="AN190">
        <v>1</v>
      </c>
      <c r="AO190">
        <v>1.5379924182014351</v>
      </c>
      <c r="AP190">
        <v>-4.0765104859872965</v>
      </c>
      <c r="AQ190">
        <v>-9.2840519683375877</v>
      </c>
      <c r="AR190">
        <v>-3.2552324719966319</v>
      </c>
      <c r="AS190">
        <v>1258</v>
      </c>
      <c r="AT190" t="s">
        <v>73</v>
      </c>
      <c r="AU190" t="s">
        <v>60</v>
      </c>
      <c r="AV190" t="s">
        <v>84</v>
      </c>
      <c r="AW190" t="s">
        <v>74</v>
      </c>
      <c r="AX190" t="s">
        <v>74</v>
      </c>
      <c r="AY190" t="s">
        <v>74</v>
      </c>
    </row>
    <row r="191" spans="1:51" x14ac:dyDescent="0.75">
      <c r="A191" t="s">
        <v>1026</v>
      </c>
      <c r="B191" t="s">
        <v>834</v>
      </c>
      <c r="C191" t="s">
        <v>835</v>
      </c>
      <c r="D191" t="s">
        <v>1027</v>
      </c>
      <c r="E191" t="s">
        <v>1028</v>
      </c>
      <c r="F191" t="s">
        <v>56</v>
      </c>
      <c r="G191" t="s">
        <v>51</v>
      </c>
      <c r="H191" t="s">
        <v>119</v>
      </c>
      <c r="L191" t="s">
        <v>60</v>
      </c>
      <c r="M191" t="s">
        <v>145</v>
      </c>
      <c r="Q191" t="s">
        <v>63</v>
      </c>
      <c r="R191" t="s">
        <v>64</v>
      </c>
      <c r="S191" t="s">
        <v>78</v>
      </c>
      <c r="T191" t="s">
        <v>66</v>
      </c>
      <c r="U191">
        <v>1</v>
      </c>
      <c r="V191" t="s">
        <v>91</v>
      </c>
      <c r="W191" t="s">
        <v>79</v>
      </c>
      <c r="X191" t="s">
        <v>139</v>
      </c>
      <c r="Y191" t="s">
        <v>68</v>
      </c>
      <c r="Z191" t="s">
        <v>69</v>
      </c>
      <c r="AA191">
        <v>21.84</v>
      </c>
      <c r="AB191" t="s">
        <v>51</v>
      </c>
      <c r="AC191">
        <v>10</v>
      </c>
      <c r="AD191">
        <v>3.1939004367700634</v>
      </c>
      <c r="AE191" t="s">
        <v>1029</v>
      </c>
      <c r="AF191">
        <v>31.74</v>
      </c>
      <c r="AG191">
        <v>10</v>
      </c>
      <c r="AH191">
        <v>3.6049965325919522</v>
      </c>
      <c r="AI191" t="s">
        <v>891</v>
      </c>
      <c r="AJ191" t="s">
        <v>72</v>
      </c>
      <c r="AK191">
        <v>2.7838092517030635</v>
      </c>
      <c r="AL191">
        <v>0.39373984874668927</v>
      </c>
      <c r="AM191">
        <v>20</v>
      </c>
      <c r="AN191">
        <v>1</v>
      </c>
      <c r="AO191">
        <v>0.6274869311361706</v>
      </c>
      <c r="AP191">
        <v>4.4364418023216974</v>
      </c>
      <c r="AQ191">
        <v>1.5539574659066042</v>
      </c>
      <c r="AR191">
        <v>4.0136610374995225</v>
      </c>
      <c r="AS191">
        <v>1263</v>
      </c>
      <c r="AT191" t="s">
        <v>95</v>
      </c>
      <c r="AU191" t="s">
        <v>60</v>
      </c>
      <c r="AV191" t="s">
        <v>74</v>
      </c>
      <c r="AW191" t="s">
        <v>74</v>
      </c>
      <c r="AX191" t="s">
        <v>74</v>
      </c>
      <c r="AY191" t="s">
        <v>74</v>
      </c>
    </row>
    <row r="192" spans="1:51" x14ac:dyDescent="0.75">
      <c r="A192" t="s">
        <v>1030</v>
      </c>
      <c r="B192" t="s">
        <v>834</v>
      </c>
      <c r="C192" t="s">
        <v>835</v>
      </c>
      <c r="D192" t="s">
        <v>1031</v>
      </c>
      <c r="E192" t="s">
        <v>886</v>
      </c>
      <c r="H192" t="s">
        <v>101</v>
      </c>
      <c r="I192" t="s">
        <v>232</v>
      </c>
      <c r="Q192" t="s">
        <v>138</v>
      </c>
      <c r="R192" t="s">
        <v>103</v>
      </c>
      <c r="T192" t="s">
        <v>66</v>
      </c>
      <c r="U192">
        <v>1</v>
      </c>
      <c r="V192" t="s">
        <v>67</v>
      </c>
      <c r="W192" t="s">
        <v>294</v>
      </c>
      <c r="Y192" t="s">
        <v>68</v>
      </c>
      <c r="Z192" t="s">
        <v>69</v>
      </c>
      <c r="AA192">
        <v>26</v>
      </c>
      <c r="AB192" t="s">
        <v>78</v>
      </c>
      <c r="AC192">
        <v>7</v>
      </c>
      <c r="AD192">
        <v>5.0269274910227217</v>
      </c>
      <c r="AE192" t="s">
        <v>456</v>
      </c>
      <c r="AF192">
        <v>3</v>
      </c>
      <c r="AG192">
        <v>7</v>
      </c>
      <c r="AH192">
        <v>4.2332020977033453</v>
      </c>
      <c r="AI192" t="s">
        <v>867</v>
      </c>
      <c r="AJ192" t="s">
        <v>74</v>
      </c>
      <c r="AK192">
        <v>-4.6323363556343509</v>
      </c>
      <c r="AL192">
        <v>1.0520907182761334</v>
      </c>
      <c r="AM192">
        <v>14</v>
      </c>
      <c r="AN192">
        <v>1</v>
      </c>
      <c r="AO192">
        <v>1.0257147353314826</v>
      </c>
      <c r="AP192">
        <v>-4.5162033809890696</v>
      </c>
      <c r="AQ192">
        <v>-6.6427002952960903</v>
      </c>
      <c r="AR192">
        <v>-2.6219724159726114</v>
      </c>
      <c r="AS192">
        <v>1265</v>
      </c>
      <c r="AT192" t="s">
        <v>73</v>
      </c>
      <c r="AU192" t="s">
        <v>60</v>
      </c>
      <c r="AV192" t="s">
        <v>74</v>
      </c>
      <c r="AW192" t="s">
        <v>74</v>
      </c>
      <c r="AX192" t="s">
        <v>74</v>
      </c>
      <c r="AY192" t="s">
        <v>863</v>
      </c>
    </row>
    <row r="193" spans="1:51" x14ac:dyDescent="0.75">
      <c r="A193" t="s">
        <v>1032</v>
      </c>
      <c r="B193" t="s">
        <v>834</v>
      </c>
      <c r="C193" t="s">
        <v>835</v>
      </c>
      <c r="D193" t="s">
        <v>488</v>
      </c>
      <c r="E193" t="s">
        <v>489</v>
      </c>
      <c r="K193" t="s">
        <v>78</v>
      </c>
      <c r="P193" t="s">
        <v>490</v>
      </c>
      <c r="Q193" t="s">
        <v>138</v>
      </c>
      <c r="R193" t="s">
        <v>103</v>
      </c>
      <c r="T193" t="s">
        <v>66</v>
      </c>
      <c r="U193">
        <v>1</v>
      </c>
      <c r="Y193" t="s">
        <v>68</v>
      </c>
      <c r="Z193" t="s">
        <v>69</v>
      </c>
      <c r="AA193">
        <v>10.1</v>
      </c>
      <c r="AB193" t="s">
        <v>57</v>
      </c>
      <c r="AC193">
        <v>6</v>
      </c>
      <c r="AD193">
        <v>3.6742346141747668</v>
      </c>
      <c r="AE193" t="s">
        <v>480</v>
      </c>
      <c r="AF193">
        <v>16.5</v>
      </c>
      <c r="AG193">
        <v>6</v>
      </c>
      <c r="AH193">
        <v>4.4090815370097207</v>
      </c>
      <c r="AI193" t="s">
        <v>1033</v>
      </c>
      <c r="AJ193" t="s">
        <v>74</v>
      </c>
      <c r="AK193">
        <v>1.4551747864592068</v>
      </c>
      <c r="AL193">
        <v>0.42156390246444159</v>
      </c>
      <c r="AM193">
        <v>12</v>
      </c>
      <c r="AN193">
        <v>1</v>
      </c>
      <c r="AO193">
        <v>0.64927952567784053</v>
      </c>
      <c r="AP193">
        <v>2.2412146524103322</v>
      </c>
      <c r="AQ193">
        <v>0.18261030023139035</v>
      </c>
      <c r="AR193">
        <v>2.7277392726870233</v>
      </c>
      <c r="AS193">
        <v>1275</v>
      </c>
      <c r="AT193" t="s">
        <v>95</v>
      </c>
      <c r="AU193" t="s">
        <v>60</v>
      </c>
      <c r="AV193" t="s">
        <v>74</v>
      </c>
      <c r="AW193" t="s">
        <v>60</v>
      </c>
      <c r="AX193" t="s">
        <v>96</v>
      </c>
      <c r="AY193" t="s">
        <v>837</v>
      </c>
    </row>
    <row r="194" spans="1:51" x14ac:dyDescent="0.75">
      <c r="A194" t="s">
        <v>1034</v>
      </c>
      <c r="B194" t="s">
        <v>834</v>
      </c>
      <c r="C194" t="s">
        <v>835</v>
      </c>
      <c r="D194" t="s">
        <v>1035</v>
      </c>
      <c r="T194" t="s">
        <v>66</v>
      </c>
      <c r="U194">
        <v>1</v>
      </c>
      <c r="V194" t="s">
        <v>67</v>
      </c>
      <c r="Y194" t="s">
        <v>68</v>
      </c>
      <c r="Z194" t="s">
        <v>1036</v>
      </c>
      <c r="AA194">
        <v>6.11</v>
      </c>
      <c r="AB194" t="s">
        <v>65</v>
      </c>
      <c r="AC194">
        <v>8</v>
      </c>
      <c r="AD194">
        <v>0.82024386617639511</v>
      </c>
      <c r="AE194" t="s">
        <v>926</v>
      </c>
      <c r="AF194">
        <v>14.58</v>
      </c>
      <c r="AG194">
        <v>8</v>
      </c>
      <c r="AH194">
        <v>1.8101933598375619</v>
      </c>
      <c r="AI194" t="s">
        <v>1037</v>
      </c>
      <c r="AJ194" t="s">
        <v>74</v>
      </c>
      <c r="AK194">
        <v>5.697520171751167</v>
      </c>
      <c r="AL194">
        <v>1.2644292533597328</v>
      </c>
      <c r="AM194">
        <v>16</v>
      </c>
      <c r="AN194">
        <v>1</v>
      </c>
      <c r="AO194">
        <v>1.1244684314642777</v>
      </c>
      <c r="AP194">
        <v>5.0668564917664094</v>
      </c>
      <c r="AQ194">
        <v>3.4936025443289367</v>
      </c>
      <c r="AR194">
        <v>7.9014377991733973</v>
      </c>
      <c r="AS194">
        <v>1326</v>
      </c>
      <c r="AT194" t="s">
        <v>95</v>
      </c>
      <c r="AU194" t="s">
        <v>60</v>
      </c>
      <c r="AV194" t="s">
        <v>96</v>
      </c>
      <c r="AW194" t="s">
        <v>60</v>
      </c>
      <c r="AX194" t="s">
        <v>96</v>
      </c>
      <c r="AY194" t="s">
        <v>837</v>
      </c>
    </row>
    <row r="195" spans="1:51" x14ac:dyDescent="0.75">
      <c r="A195" t="s">
        <v>1038</v>
      </c>
      <c r="B195" t="s">
        <v>834</v>
      </c>
      <c r="C195" t="s">
        <v>835</v>
      </c>
      <c r="D195" t="s">
        <v>1039</v>
      </c>
      <c r="E195" t="s">
        <v>325</v>
      </c>
      <c r="H195" t="s">
        <v>137</v>
      </c>
      <c r="I195" t="s">
        <v>824</v>
      </c>
      <c r="K195" t="s">
        <v>129</v>
      </c>
      <c r="P195" t="s">
        <v>89</v>
      </c>
      <c r="Q195" t="s">
        <v>63</v>
      </c>
      <c r="T195" t="s">
        <v>66</v>
      </c>
      <c r="U195">
        <v>1</v>
      </c>
      <c r="V195" t="s">
        <v>91</v>
      </c>
      <c r="W195" t="s">
        <v>79</v>
      </c>
      <c r="X195" t="s">
        <v>118</v>
      </c>
      <c r="Y195" t="s">
        <v>68</v>
      </c>
      <c r="Z195" t="s">
        <v>69</v>
      </c>
      <c r="AA195">
        <v>56.2</v>
      </c>
      <c r="AB195" t="s">
        <v>69</v>
      </c>
      <c r="AC195">
        <v>5</v>
      </c>
      <c r="AD195">
        <v>5.0758743089245231</v>
      </c>
      <c r="AE195" t="s">
        <v>1040</v>
      </c>
      <c r="AF195">
        <v>13.8</v>
      </c>
      <c r="AG195">
        <v>5</v>
      </c>
      <c r="AH195">
        <v>4.5615786740995716</v>
      </c>
      <c r="AI195" t="s">
        <v>173</v>
      </c>
      <c r="AJ195" t="s">
        <v>72</v>
      </c>
      <c r="AK195">
        <v>-7.9316058614985341</v>
      </c>
      <c r="AL195">
        <v>3.5455185771078952</v>
      </c>
      <c r="AM195">
        <v>10</v>
      </c>
      <c r="AN195">
        <v>1</v>
      </c>
      <c r="AO195">
        <v>1.8829547464312293</v>
      </c>
      <c r="AP195">
        <v>-4.2123188974835077</v>
      </c>
      <c r="AQ195">
        <v>-11.622129349022494</v>
      </c>
      <c r="AR195">
        <v>-4.2410823739745753</v>
      </c>
      <c r="AS195">
        <v>1334</v>
      </c>
      <c r="AT195" t="s">
        <v>73</v>
      </c>
      <c r="AU195" t="s">
        <v>60</v>
      </c>
      <c r="AV195" t="s">
        <v>84</v>
      </c>
      <c r="AW195" t="s">
        <v>74</v>
      </c>
      <c r="AX195" t="s">
        <v>84</v>
      </c>
      <c r="AY195" t="s">
        <v>837</v>
      </c>
    </row>
    <row r="196" spans="1:51" x14ac:dyDescent="0.75">
      <c r="A196" t="s">
        <v>1041</v>
      </c>
      <c r="B196" t="s">
        <v>834</v>
      </c>
      <c r="C196" t="s">
        <v>835</v>
      </c>
      <c r="D196" t="s">
        <v>504</v>
      </c>
      <c r="Q196" t="s">
        <v>63</v>
      </c>
      <c r="R196" t="s">
        <v>103</v>
      </c>
      <c r="T196" t="s">
        <v>66</v>
      </c>
      <c r="U196">
        <v>2</v>
      </c>
      <c r="Y196" t="s">
        <v>68</v>
      </c>
      <c r="Z196" t="s">
        <v>69</v>
      </c>
      <c r="AA196">
        <v>14.83</v>
      </c>
      <c r="AB196" t="s">
        <v>57</v>
      </c>
      <c r="AC196">
        <v>6</v>
      </c>
      <c r="AD196">
        <v>5.4133723315508231</v>
      </c>
      <c r="AE196" t="s">
        <v>989</v>
      </c>
      <c r="AF196">
        <v>5.83</v>
      </c>
      <c r="AG196">
        <v>6</v>
      </c>
      <c r="AH196">
        <v>3.7232244090304305</v>
      </c>
      <c r="AI196" t="s">
        <v>1042</v>
      </c>
      <c r="AJ196" t="s">
        <v>72</v>
      </c>
      <c r="AK196">
        <v>-1.7875720700457438</v>
      </c>
      <c r="AL196">
        <v>0.4664755794003177</v>
      </c>
      <c r="AM196">
        <v>12</v>
      </c>
      <c r="AN196">
        <v>1</v>
      </c>
      <c r="AO196">
        <v>0.68299017518579119</v>
      </c>
      <c r="AP196">
        <v>-2.6172734762392116</v>
      </c>
      <c r="AQ196">
        <v>-3.1262082152045965</v>
      </c>
      <c r="AR196">
        <v>-0.44893592488689116</v>
      </c>
      <c r="AS196">
        <v>1350</v>
      </c>
      <c r="AT196" t="s">
        <v>73</v>
      </c>
      <c r="AU196" t="s">
        <v>60</v>
      </c>
      <c r="AV196" t="s">
        <v>74</v>
      </c>
      <c r="AW196" t="s">
        <v>74</v>
      </c>
      <c r="AX196" t="s">
        <v>84</v>
      </c>
      <c r="AY196" t="s">
        <v>837</v>
      </c>
    </row>
    <row r="197" spans="1:51" x14ac:dyDescent="0.75">
      <c r="A197" t="s">
        <v>1043</v>
      </c>
      <c r="B197" t="s">
        <v>834</v>
      </c>
      <c r="C197" t="s">
        <v>835</v>
      </c>
      <c r="D197" t="s">
        <v>1044</v>
      </c>
      <c r="E197" t="s">
        <v>1045</v>
      </c>
      <c r="H197" t="s">
        <v>137</v>
      </c>
      <c r="O197" t="s">
        <v>110</v>
      </c>
      <c r="R197" t="s">
        <v>103</v>
      </c>
      <c r="T197" t="s">
        <v>66</v>
      </c>
      <c r="U197">
        <v>2</v>
      </c>
      <c r="V197" t="s">
        <v>91</v>
      </c>
      <c r="W197" t="s">
        <v>79</v>
      </c>
      <c r="X197" t="s">
        <v>80</v>
      </c>
      <c r="Y197" t="s">
        <v>68</v>
      </c>
      <c r="Z197" t="s">
        <v>69</v>
      </c>
      <c r="AA197">
        <v>16.02</v>
      </c>
      <c r="AB197" t="s">
        <v>57</v>
      </c>
      <c r="AC197">
        <v>6</v>
      </c>
      <c r="AD197">
        <v>2.9883774861954771</v>
      </c>
      <c r="AE197" t="s">
        <v>1046</v>
      </c>
      <c r="AF197">
        <v>14.18</v>
      </c>
      <c r="AG197">
        <v>6</v>
      </c>
      <c r="AH197">
        <v>3.5027703321799444</v>
      </c>
      <c r="AI197" t="s">
        <v>1047</v>
      </c>
      <c r="AJ197" t="s">
        <v>74</v>
      </c>
      <c r="AK197">
        <v>-0.5214935312993767</v>
      </c>
      <c r="AL197">
        <v>0.34466481263279558</v>
      </c>
      <c r="AM197">
        <v>12</v>
      </c>
      <c r="AN197">
        <v>1</v>
      </c>
      <c r="AO197">
        <v>0.58708160645075191</v>
      </c>
      <c r="AP197">
        <v>-0.88828116154431569</v>
      </c>
      <c r="AQ197">
        <v>-1.6721523359287682</v>
      </c>
      <c r="AR197">
        <v>0.62916527333001482</v>
      </c>
      <c r="AS197">
        <v>1363</v>
      </c>
      <c r="AT197" t="s">
        <v>73</v>
      </c>
      <c r="AU197" t="s">
        <v>60</v>
      </c>
      <c r="AV197" t="s">
        <v>96</v>
      </c>
      <c r="AW197" t="s">
        <v>60</v>
      </c>
      <c r="AX197" t="s">
        <v>84</v>
      </c>
      <c r="AY197" t="s">
        <v>837</v>
      </c>
    </row>
    <row r="198" spans="1:51" x14ac:dyDescent="0.75">
      <c r="A198" t="s">
        <v>1048</v>
      </c>
      <c r="B198" t="s">
        <v>834</v>
      </c>
      <c r="C198" t="s">
        <v>835</v>
      </c>
      <c r="D198" t="s">
        <v>519</v>
      </c>
      <c r="E198" t="s">
        <v>520</v>
      </c>
      <c r="F198" t="s">
        <v>56</v>
      </c>
      <c r="G198" t="s">
        <v>69</v>
      </c>
      <c r="H198" t="s">
        <v>137</v>
      </c>
      <c r="K198" t="s">
        <v>78</v>
      </c>
      <c r="P198" t="s">
        <v>158</v>
      </c>
      <c r="Q198" t="s">
        <v>521</v>
      </c>
      <c r="R198" t="s">
        <v>103</v>
      </c>
      <c r="T198" t="s">
        <v>66</v>
      </c>
      <c r="U198">
        <v>1</v>
      </c>
      <c r="V198" t="s">
        <v>91</v>
      </c>
      <c r="W198" t="s">
        <v>79</v>
      </c>
      <c r="X198" t="s">
        <v>139</v>
      </c>
      <c r="Y198" t="s">
        <v>68</v>
      </c>
      <c r="Z198" t="s">
        <v>69</v>
      </c>
      <c r="AA198">
        <v>25.77</v>
      </c>
      <c r="AB198" t="s">
        <v>69</v>
      </c>
      <c r="AC198">
        <v>5</v>
      </c>
      <c r="AD198">
        <v>3.5553480842246659</v>
      </c>
      <c r="AE198" t="s">
        <v>1049</v>
      </c>
      <c r="AF198">
        <v>37.11</v>
      </c>
      <c r="AG198">
        <v>5</v>
      </c>
      <c r="AH198">
        <v>11.91824232007388</v>
      </c>
      <c r="AI198" t="s">
        <v>1050</v>
      </c>
      <c r="AJ198" t="s">
        <v>74</v>
      </c>
      <c r="AK198">
        <v>1.1639893262658347</v>
      </c>
      <c r="AL198">
        <v>0.46774355758303965</v>
      </c>
      <c r="AM198">
        <v>10</v>
      </c>
      <c r="AN198">
        <v>1</v>
      </c>
      <c r="AO198">
        <v>0.68391780031158689</v>
      </c>
      <c r="AP198">
        <v>1.7019433120991023</v>
      </c>
      <c r="AQ198">
        <v>-0.17646493073073199</v>
      </c>
      <c r="AR198">
        <v>2.5044435832624012</v>
      </c>
      <c r="AS198">
        <v>1392</v>
      </c>
      <c r="AT198" t="s">
        <v>95</v>
      </c>
      <c r="AU198" t="s">
        <v>60</v>
      </c>
      <c r="AV198" t="s">
        <v>84</v>
      </c>
      <c r="AW198" t="s">
        <v>68</v>
      </c>
      <c r="AX198" t="s">
        <v>96</v>
      </c>
      <c r="AY198" t="s">
        <v>837</v>
      </c>
    </row>
    <row r="199" spans="1:51" x14ac:dyDescent="0.75">
      <c r="A199" t="s">
        <v>1051</v>
      </c>
      <c r="B199" t="s">
        <v>834</v>
      </c>
      <c r="C199" t="s">
        <v>835</v>
      </c>
      <c r="D199" t="s">
        <v>1052</v>
      </c>
      <c r="E199" t="s">
        <v>1053</v>
      </c>
      <c r="H199" t="s">
        <v>137</v>
      </c>
      <c r="K199" t="s">
        <v>78</v>
      </c>
      <c r="L199" t="s">
        <v>60</v>
      </c>
      <c r="M199" t="s">
        <v>164</v>
      </c>
      <c r="N199" t="s">
        <v>137</v>
      </c>
      <c r="Q199" t="s">
        <v>63</v>
      </c>
      <c r="R199" t="s">
        <v>103</v>
      </c>
      <c r="S199" t="s">
        <v>51</v>
      </c>
      <c r="T199" t="s">
        <v>66</v>
      </c>
      <c r="U199">
        <v>1</v>
      </c>
      <c r="V199" t="s">
        <v>91</v>
      </c>
      <c r="W199" t="s">
        <v>79</v>
      </c>
      <c r="X199" t="s">
        <v>139</v>
      </c>
      <c r="Y199" t="s">
        <v>68</v>
      </c>
      <c r="Z199" t="s">
        <v>69</v>
      </c>
      <c r="AA199">
        <v>24.84</v>
      </c>
      <c r="AB199" t="s">
        <v>57</v>
      </c>
      <c r="AC199">
        <v>6</v>
      </c>
      <c r="AD199">
        <v>2.3025203582161904</v>
      </c>
      <c r="AE199" t="s">
        <v>1054</v>
      </c>
      <c r="AF199">
        <v>46.22</v>
      </c>
      <c r="AG199">
        <v>6</v>
      </c>
      <c r="AH199">
        <v>2.3025203582161815</v>
      </c>
      <c r="AI199" t="s">
        <v>1055</v>
      </c>
      <c r="AJ199" t="s">
        <v>72</v>
      </c>
      <c r="AK199">
        <v>8.5681331892582957</v>
      </c>
      <c r="AL199">
        <v>3.3922044312028969</v>
      </c>
      <c r="AM199">
        <v>12</v>
      </c>
      <c r="AN199">
        <v>1</v>
      </c>
      <c r="AO199">
        <v>1.8417938080042773</v>
      </c>
      <c r="AP199">
        <v>4.6520588526369924</v>
      </c>
      <c r="AQ199">
        <v>4.958283658621033</v>
      </c>
      <c r="AR199">
        <v>12.177982719895558</v>
      </c>
      <c r="AS199">
        <v>1402</v>
      </c>
      <c r="AT199" t="s">
        <v>95</v>
      </c>
      <c r="AU199" t="s">
        <v>60</v>
      </c>
      <c r="AV199" t="s">
        <v>96</v>
      </c>
      <c r="AW199" t="s">
        <v>60</v>
      </c>
      <c r="AX199" t="s">
        <v>96</v>
      </c>
      <c r="AY199" t="s">
        <v>837</v>
      </c>
    </row>
    <row r="200" spans="1:51" x14ac:dyDescent="0.75">
      <c r="A200" t="s">
        <v>1056</v>
      </c>
      <c r="B200" t="s">
        <v>834</v>
      </c>
      <c r="C200" t="s">
        <v>835</v>
      </c>
      <c r="D200" t="s">
        <v>1057</v>
      </c>
      <c r="E200" t="s">
        <v>1058</v>
      </c>
      <c r="H200" t="s">
        <v>119</v>
      </c>
      <c r="I200" t="s">
        <v>80</v>
      </c>
      <c r="K200" t="s">
        <v>78</v>
      </c>
      <c r="Q200" t="s">
        <v>63</v>
      </c>
      <c r="R200" t="s">
        <v>64</v>
      </c>
      <c r="T200" t="s">
        <v>66</v>
      </c>
      <c r="U200">
        <v>1</v>
      </c>
      <c r="W200" t="s">
        <v>79</v>
      </c>
      <c r="X200" t="s">
        <v>80</v>
      </c>
      <c r="Y200" t="s">
        <v>68</v>
      </c>
      <c r="Z200" t="s">
        <v>69</v>
      </c>
      <c r="AA200">
        <v>41</v>
      </c>
      <c r="AB200" t="s">
        <v>69</v>
      </c>
      <c r="AC200">
        <v>5</v>
      </c>
      <c r="AD200">
        <v>1.5652475842498528</v>
      </c>
      <c r="AE200" t="s">
        <v>963</v>
      </c>
      <c r="AF200">
        <v>29.6</v>
      </c>
      <c r="AG200">
        <v>5</v>
      </c>
      <c r="AH200">
        <v>2.0795432190748047</v>
      </c>
      <c r="AI200" t="s">
        <v>883</v>
      </c>
      <c r="AJ200" t="s">
        <v>72</v>
      </c>
      <c r="AK200">
        <v>-5.5914735123621924</v>
      </c>
      <c r="AL200">
        <v>1.9632288019723996</v>
      </c>
      <c r="AM200">
        <v>10</v>
      </c>
      <c r="AN200">
        <v>1</v>
      </c>
      <c r="AO200">
        <v>1.4011526690451686</v>
      </c>
      <c r="AP200">
        <v>-3.9906240311218659</v>
      </c>
      <c r="AQ200">
        <v>-8.3376822805328921</v>
      </c>
      <c r="AR200">
        <v>-2.8452647441914927</v>
      </c>
      <c r="AS200">
        <v>1410</v>
      </c>
      <c r="AT200" t="s">
        <v>73</v>
      </c>
      <c r="AU200" t="s">
        <v>60</v>
      </c>
      <c r="AV200" t="s">
        <v>84</v>
      </c>
      <c r="AW200" t="s">
        <v>74</v>
      </c>
      <c r="AX200" t="s">
        <v>84</v>
      </c>
      <c r="AY200" t="s">
        <v>837</v>
      </c>
    </row>
    <row r="201" spans="1:51" x14ac:dyDescent="0.75">
      <c r="A201" t="s">
        <v>1059</v>
      </c>
      <c r="B201" t="s">
        <v>834</v>
      </c>
      <c r="C201" t="s">
        <v>835</v>
      </c>
      <c r="D201" t="s">
        <v>1060</v>
      </c>
      <c r="E201" t="s">
        <v>1061</v>
      </c>
      <c r="Q201" t="s">
        <v>63</v>
      </c>
      <c r="R201" t="s">
        <v>103</v>
      </c>
      <c r="T201" t="s">
        <v>66</v>
      </c>
      <c r="U201">
        <v>2</v>
      </c>
      <c r="V201" t="s">
        <v>91</v>
      </c>
      <c r="W201" t="s">
        <v>79</v>
      </c>
      <c r="X201" t="s">
        <v>139</v>
      </c>
      <c r="Y201" t="s">
        <v>68</v>
      </c>
      <c r="Z201" t="s">
        <v>69</v>
      </c>
      <c r="AA201">
        <v>11.02</v>
      </c>
      <c r="AB201" t="s">
        <v>57</v>
      </c>
      <c r="AC201">
        <v>6</v>
      </c>
      <c r="AD201">
        <v>3.8701937935974211</v>
      </c>
      <c r="AE201" t="s">
        <v>263</v>
      </c>
      <c r="AF201">
        <v>3.53</v>
      </c>
      <c r="AG201">
        <v>6</v>
      </c>
      <c r="AH201">
        <v>3.4292856398964489</v>
      </c>
      <c r="AI201" t="s">
        <v>414</v>
      </c>
      <c r="AJ201" t="s">
        <v>72</v>
      </c>
      <c r="AK201">
        <v>-1.8902145173648492</v>
      </c>
      <c r="AL201">
        <v>0.48220462173570122</v>
      </c>
      <c r="AM201">
        <v>12</v>
      </c>
      <c r="AN201">
        <v>1</v>
      </c>
      <c r="AO201">
        <v>0.69440954899518859</v>
      </c>
      <c r="AP201">
        <v>-2.7220456862956333</v>
      </c>
      <c r="AQ201">
        <v>-3.2512322239161211</v>
      </c>
      <c r="AR201">
        <v>-0.52919681081357761</v>
      </c>
      <c r="AS201">
        <v>1470</v>
      </c>
      <c r="AT201" t="s">
        <v>73</v>
      </c>
      <c r="AU201" t="s">
        <v>60</v>
      </c>
      <c r="AV201" t="s">
        <v>84</v>
      </c>
      <c r="AW201" t="s">
        <v>60</v>
      </c>
      <c r="AX201" t="s">
        <v>84</v>
      </c>
      <c r="AY201" t="s">
        <v>837</v>
      </c>
    </row>
    <row r="202" spans="1:51" x14ac:dyDescent="0.75">
      <c r="A202" t="s">
        <v>1062</v>
      </c>
      <c r="B202" t="s">
        <v>834</v>
      </c>
      <c r="C202" t="s">
        <v>835</v>
      </c>
      <c r="D202" t="s">
        <v>547</v>
      </c>
      <c r="E202" t="s">
        <v>548</v>
      </c>
      <c r="F202" t="s">
        <v>56</v>
      </c>
      <c r="H202" t="s">
        <v>137</v>
      </c>
      <c r="I202" t="s">
        <v>189</v>
      </c>
      <c r="Q202" t="s">
        <v>63</v>
      </c>
      <c r="R202" t="s">
        <v>103</v>
      </c>
      <c r="T202" t="s">
        <v>66</v>
      </c>
      <c r="U202">
        <v>0.5</v>
      </c>
      <c r="W202" t="s">
        <v>79</v>
      </c>
      <c r="X202" t="s">
        <v>139</v>
      </c>
      <c r="Y202" t="s">
        <v>68</v>
      </c>
      <c r="Z202" t="s">
        <v>69</v>
      </c>
      <c r="AA202">
        <v>55.2</v>
      </c>
      <c r="AB202" t="s">
        <v>69</v>
      </c>
      <c r="AC202">
        <v>5</v>
      </c>
      <c r="AD202">
        <v>5.7019733426244636</v>
      </c>
      <c r="AE202" t="s">
        <v>1063</v>
      </c>
      <c r="AF202">
        <v>35</v>
      </c>
      <c r="AG202">
        <v>5</v>
      </c>
      <c r="AH202">
        <v>7.9380413201242535</v>
      </c>
      <c r="AI202" t="s">
        <v>1064</v>
      </c>
      <c r="AJ202" t="s">
        <v>72</v>
      </c>
      <c r="AK202">
        <v>-2.6384744343203259</v>
      </c>
      <c r="AL202">
        <v>0.74807736702809824</v>
      </c>
      <c r="AM202">
        <v>10</v>
      </c>
      <c r="AN202">
        <v>1</v>
      </c>
      <c r="AO202">
        <v>0.86491465881212715</v>
      </c>
      <c r="AP202">
        <v>-3.0505604309493424</v>
      </c>
      <c r="AQ202">
        <v>-4.333676015292844</v>
      </c>
      <c r="AR202">
        <v>-0.94327285334780808</v>
      </c>
      <c r="AS202">
        <v>1495</v>
      </c>
      <c r="AT202" t="s">
        <v>73</v>
      </c>
      <c r="AU202" t="s">
        <v>60</v>
      </c>
      <c r="AV202" t="s">
        <v>74</v>
      </c>
      <c r="AW202" t="s">
        <v>74</v>
      </c>
      <c r="AX202" t="s">
        <v>84</v>
      </c>
      <c r="AY202" t="s">
        <v>74</v>
      </c>
    </row>
    <row r="203" spans="1:51" x14ac:dyDescent="0.75">
      <c r="A203" t="s">
        <v>1065</v>
      </c>
      <c r="B203" t="s">
        <v>834</v>
      </c>
      <c r="C203" t="s">
        <v>835</v>
      </c>
      <c r="D203" t="s">
        <v>1066</v>
      </c>
      <c r="E203" t="s">
        <v>1067</v>
      </c>
      <c r="F203" t="s">
        <v>56</v>
      </c>
      <c r="H203" t="s">
        <v>137</v>
      </c>
      <c r="I203" t="s">
        <v>189</v>
      </c>
      <c r="L203" t="s">
        <v>60</v>
      </c>
      <c r="Q203" t="s">
        <v>63</v>
      </c>
      <c r="R203" t="s">
        <v>64</v>
      </c>
      <c r="T203" t="s">
        <v>66</v>
      </c>
      <c r="U203">
        <v>1</v>
      </c>
      <c r="V203" t="s">
        <v>91</v>
      </c>
      <c r="W203" t="s">
        <v>79</v>
      </c>
      <c r="X203" t="s">
        <v>139</v>
      </c>
      <c r="Y203" t="s">
        <v>68</v>
      </c>
      <c r="Z203" t="s">
        <v>69</v>
      </c>
      <c r="AA203">
        <v>37</v>
      </c>
      <c r="AB203" t="s">
        <v>57</v>
      </c>
      <c r="AC203">
        <v>6</v>
      </c>
      <c r="AD203">
        <v>6.0747345621022815</v>
      </c>
      <c r="AE203" t="s">
        <v>1068</v>
      </c>
      <c r="AF203">
        <v>8</v>
      </c>
      <c r="AG203">
        <v>6</v>
      </c>
      <c r="AH203">
        <v>2.2290356659326918</v>
      </c>
      <c r="AI203" t="s">
        <v>988</v>
      </c>
      <c r="AJ203" t="s">
        <v>72</v>
      </c>
      <c r="AK203">
        <v>-5.8484167989474987</v>
      </c>
      <c r="AL203">
        <v>1.7584991272588044</v>
      </c>
      <c r="AM203">
        <v>12</v>
      </c>
      <c r="AN203">
        <v>1</v>
      </c>
      <c r="AO203">
        <v>1.3260841327980681</v>
      </c>
      <c r="AP203">
        <v>-4.4102909116386186</v>
      </c>
      <c r="AQ203">
        <v>-8.4474939397017419</v>
      </c>
      <c r="AR203">
        <v>-3.249339658193255</v>
      </c>
      <c r="AS203">
        <v>1498</v>
      </c>
      <c r="AT203" t="s">
        <v>73</v>
      </c>
      <c r="AU203" t="s">
        <v>60</v>
      </c>
      <c r="AV203" t="s">
        <v>84</v>
      </c>
      <c r="AW203" t="s">
        <v>74</v>
      </c>
      <c r="AX203" t="s">
        <v>84</v>
      </c>
      <c r="AY203" t="s">
        <v>837</v>
      </c>
    </row>
    <row r="204" spans="1:51" x14ac:dyDescent="0.75">
      <c r="A204" t="s">
        <v>1069</v>
      </c>
      <c r="B204" t="s">
        <v>834</v>
      </c>
      <c r="C204" t="s">
        <v>835</v>
      </c>
      <c r="D204" t="s">
        <v>563</v>
      </c>
      <c r="E204" t="s">
        <v>564</v>
      </c>
      <c r="Q204" t="s">
        <v>63</v>
      </c>
      <c r="R204" t="s">
        <v>103</v>
      </c>
      <c r="T204" t="s">
        <v>66</v>
      </c>
      <c r="U204">
        <v>1</v>
      </c>
      <c r="V204" t="s">
        <v>91</v>
      </c>
      <c r="W204" t="s">
        <v>79</v>
      </c>
      <c r="X204" t="s">
        <v>139</v>
      </c>
      <c r="Y204" t="s">
        <v>68</v>
      </c>
      <c r="Z204" t="s">
        <v>69</v>
      </c>
      <c r="AA204">
        <v>15.16</v>
      </c>
      <c r="AB204" t="s">
        <v>57</v>
      </c>
      <c r="AC204">
        <v>6</v>
      </c>
      <c r="AD204">
        <v>3.3068111527572905</v>
      </c>
      <c r="AE204" t="s">
        <v>1070</v>
      </c>
      <c r="AF204">
        <v>9.67</v>
      </c>
      <c r="AG204">
        <v>6</v>
      </c>
      <c r="AH204">
        <v>3.086357075906804</v>
      </c>
      <c r="AI204" t="s">
        <v>1071</v>
      </c>
      <c r="AJ204" t="s">
        <v>72</v>
      </c>
      <c r="AK204">
        <v>-1.5838357681390576</v>
      </c>
      <c r="AL204">
        <v>0.43785565585152658</v>
      </c>
      <c r="AM204">
        <v>12</v>
      </c>
      <c r="AN204">
        <v>1</v>
      </c>
      <c r="AO204">
        <v>0.66170662370232214</v>
      </c>
      <c r="AP204">
        <v>-2.3935619070537943</v>
      </c>
      <c r="AQ204">
        <v>-2.8807569189272071</v>
      </c>
      <c r="AR204">
        <v>-0.28691461735090829</v>
      </c>
      <c r="AS204">
        <v>1544</v>
      </c>
      <c r="AT204" t="s">
        <v>73</v>
      </c>
      <c r="AU204" t="s">
        <v>60</v>
      </c>
      <c r="AV204" t="s">
        <v>74</v>
      </c>
      <c r="AW204" t="s">
        <v>74</v>
      </c>
      <c r="AX204" t="s">
        <v>84</v>
      </c>
      <c r="AY204" t="s">
        <v>837</v>
      </c>
    </row>
    <row r="205" spans="1:51" x14ac:dyDescent="0.75">
      <c r="A205" t="s">
        <v>1072</v>
      </c>
      <c r="B205" t="s">
        <v>834</v>
      </c>
      <c r="C205" t="s">
        <v>835</v>
      </c>
      <c r="D205" t="s">
        <v>1073</v>
      </c>
      <c r="E205" t="s">
        <v>657</v>
      </c>
      <c r="F205" t="s">
        <v>56</v>
      </c>
      <c r="Q205" t="s">
        <v>293</v>
      </c>
      <c r="R205" t="s">
        <v>64</v>
      </c>
      <c r="S205" t="s">
        <v>69</v>
      </c>
      <c r="T205" t="s">
        <v>66</v>
      </c>
      <c r="U205">
        <v>1</v>
      </c>
      <c r="V205" t="s">
        <v>67</v>
      </c>
      <c r="W205" t="s">
        <v>79</v>
      </c>
      <c r="X205" t="s">
        <v>874</v>
      </c>
      <c r="Y205" t="s">
        <v>68</v>
      </c>
      <c r="Z205" t="s">
        <v>69</v>
      </c>
      <c r="AA205">
        <v>14.47</v>
      </c>
      <c r="AB205" t="s">
        <v>92</v>
      </c>
      <c r="AC205">
        <v>20</v>
      </c>
      <c r="AD205">
        <v>56.170027594794725</v>
      </c>
      <c r="AE205" t="s">
        <v>1074</v>
      </c>
      <c r="AF205">
        <v>14.67</v>
      </c>
      <c r="AG205">
        <v>15</v>
      </c>
      <c r="AH205">
        <v>48.37356199413064</v>
      </c>
      <c r="AI205" t="s">
        <v>1075</v>
      </c>
      <c r="AJ205" t="s">
        <v>293</v>
      </c>
      <c r="AK205">
        <v>3.6868696062442928E-3</v>
      </c>
      <c r="AL205">
        <v>0.11666686085248801</v>
      </c>
      <c r="AM205">
        <v>35</v>
      </c>
      <c r="AN205">
        <v>1</v>
      </c>
      <c r="AO205">
        <v>0.34156530979080413</v>
      </c>
      <c r="AP205">
        <v>1.0794039969990985E-2</v>
      </c>
      <c r="AQ205">
        <v>-0.66576883595199798</v>
      </c>
      <c r="AR205">
        <v>0.67314257516448661</v>
      </c>
      <c r="AS205">
        <v>1551</v>
      </c>
      <c r="AT205" t="s">
        <v>95</v>
      </c>
      <c r="AU205" t="s">
        <v>60</v>
      </c>
      <c r="AV205" t="s">
        <v>74</v>
      </c>
      <c r="AW205" t="s">
        <v>60</v>
      </c>
      <c r="AX205" t="s">
        <v>96</v>
      </c>
      <c r="AY205" t="s">
        <v>837</v>
      </c>
    </row>
    <row r="206" spans="1:51" x14ac:dyDescent="0.75">
      <c r="A206" t="s">
        <v>1076</v>
      </c>
      <c r="B206" t="s">
        <v>834</v>
      </c>
      <c r="C206" t="s">
        <v>835</v>
      </c>
      <c r="D206" t="s">
        <v>568</v>
      </c>
      <c r="E206" t="s">
        <v>569</v>
      </c>
      <c r="Q206" t="s">
        <v>138</v>
      </c>
      <c r="R206" t="s">
        <v>64</v>
      </c>
      <c r="T206" t="s">
        <v>66</v>
      </c>
      <c r="U206">
        <v>2</v>
      </c>
      <c r="V206" t="s">
        <v>67</v>
      </c>
      <c r="W206" t="s">
        <v>79</v>
      </c>
      <c r="X206" t="s">
        <v>139</v>
      </c>
      <c r="Y206" t="s">
        <v>68</v>
      </c>
      <c r="Z206" t="s">
        <v>139</v>
      </c>
      <c r="AA206">
        <v>109.5</v>
      </c>
      <c r="AB206" t="s">
        <v>57</v>
      </c>
      <c r="AC206">
        <v>6</v>
      </c>
      <c r="AD206">
        <v>8.9896273560142621</v>
      </c>
      <c r="AE206" t="s">
        <v>462</v>
      </c>
      <c r="AF206">
        <v>11.5</v>
      </c>
      <c r="AG206">
        <v>6</v>
      </c>
      <c r="AH206">
        <v>2.0330764865100375</v>
      </c>
      <c r="AI206" t="s">
        <v>571</v>
      </c>
      <c r="AJ206" t="s">
        <v>74</v>
      </c>
      <c r="AK206">
        <v>-13.875528973796479</v>
      </c>
      <c r="AL206">
        <v>8.3554293459443993</v>
      </c>
      <c r="AM206">
        <v>12</v>
      </c>
      <c r="AN206">
        <v>1</v>
      </c>
      <c r="AO206">
        <v>2.890575954017538</v>
      </c>
      <c r="AP206">
        <v>-4.8002644436695165</v>
      </c>
      <c r="AQ206">
        <v>-19.540953738248362</v>
      </c>
      <c r="AR206">
        <v>-8.2101042093445979</v>
      </c>
      <c r="AS206">
        <v>1565</v>
      </c>
      <c r="AT206" t="s">
        <v>73</v>
      </c>
      <c r="AU206" t="s">
        <v>60</v>
      </c>
      <c r="AV206" t="s">
        <v>84</v>
      </c>
      <c r="AW206" t="s">
        <v>74</v>
      </c>
      <c r="AX206" t="s">
        <v>74</v>
      </c>
      <c r="AY206" t="s">
        <v>74</v>
      </c>
    </row>
    <row r="207" spans="1:51" x14ac:dyDescent="0.75">
      <c r="A207" t="s">
        <v>1077</v>
      </c>
      <c r="B207" t="s">
        <v>834</v>
      </c>
      <c r="C207" t="s">
        <v>835</v>
      </c>
      <c r="D207" t="s">
        <v>1078</v>
      </c>
      <c r="E207" t="s">
        <v>1079</v>
      </c>
      <c r="F207" t="s">
        <v>56</v>
      </c>
      <c r="Q207" t="s">
        <v>1080</v>
      </c>
      <c r="R207" t="s">
        <v>64</v>
      </c>
      <c r="T207" t="s">
        <v>66</v>
      </c>
      <c r="U207">
        <v>0.6</v>
      </c>
      <c r="V207" t="s">
        <v>91</v>
      </c>
      <c r="W207" t="s">
        <v>79</v>
      </c>
      <c r="X207" t="s">
        <v>92</v>
      </c>
      <c r="Y207" t="s">
        <v>68</v>
      </c>
      <c r="Z207" t="s">
        <v>69</v>
      </c>
      <c r="AA207">
        <v>11.7</v>
      </c>
      <c r="AB207" t="s">
        <v>119</v>
      </c>
      <c r="AC207">
        <v>23</v>
      </c>
      <c r="AD207">
        <v>4.9876647842452284</v>
      </c>
      <c r="AE207" t="s">
        <v>1081</v>
      </c>
      <c r="AF207">
        <v>15.2</v>
      </c>
      <c r="AG207">
        <v>14</v>
      </c>
      <c r="AH207">
        <v>3.2926585003610684</v>
      </c>
      <c r="AI207" t="s">
        <v>1082</v>
      </c>
      <c r="AJ207" t="s">
        <v>90</v>
      </c>
      <c r="AK207">
        <v>0.77223182378793676</v>
      </c>
      <c r="AL207">
        <v>0.12296550783422912</v>
      </c>
      <c r="AM207">
        <v>37</v>
      </c>
      <c r="AN207">
        <v>1</v>
      </c>
      <c r="AO207">
        <v>0.35066438061803357</v>
      </c>
      <c r="AP207">
        <v>2.2021963634484503</v>
      </c>
      <c r="AQ207">
        <v>8.4942267115545644E-2</v>
      </c>
      <c r="AR207">
        <v>1.4595213804603278</v>
      </c>
      <c r="AS207">
        <v>1681</v>
      </c>
      <c r="AT207" t="s">
        <v>95</v>
      </c>
      <c r="AU207" t="s">
        <v>60</v>
      </c>
      <c r="AV207" t="s">
        <v>74</v>
      </c>
      <c r="AW207" t="s">
        <v>74</v>
      </c>
      <c r="AX207" t="s">
        <v>74</v>
      </c>
      <c r="AY207" t="s">
        <v>74</v>
      </c>
    </row>
    <row r="208" spans="1:51" x14ac:dyDescent="0.75">
      <c r="A208" t="s">
        <v>1083</v>
      </c>
      <c r="B208" t="s">
        <v>834</v>
      </c>
      <c r="C208" t="s">
        <v>835</v>
      </c>
      <c r="D208" t="s">
        <v>592</v>
      </c>
      <c r="E208" t="s">
        <v>593</v>
      </c>
      <c r="I208" t="s">
        <v>594</v>
      </c>
      <c r="L208" t="s">
        <v>68</v>
      </c>
      <c r="Q208" t="s">
        <v>138</v>
      </c>
      <c r="R208" t="s">
        <v>103</v>
      </c>
      <c r="T208" t="s">
        <v>66</v>
      </c>
      <c r="U208">
        <v>1</v>
      </c>
      <c r="V208" t="s">
        <v>67</v>
      </c>
      <c r="W208" t="s">
        <v>79</v>
      </c>
      <c r="X208" t="s">
        <v>80</v>
      </c>
      <c r="Y208" t="s">
        <v>68</v>
      </c>
      <c r="Z208" t="s">
        <v>69</v>
      </c>
      <c r="AA208">
        <v>7.52</v>
      </c>
      <c r="AB208" t="s">
        <v>57</v>
      </c>
      <c r="AC208">
        <v>6</v>
      </c>
      <c r="AD208">
        <v>1.5676734353812338</v>
      </c>
      <c r="AE208" t="s">
        <v>1037</v>
      </c>
      <c r="AF208">
        <v>3.33</v>
      </c>
      <c r="AG208">
        <v>6</v>
      </c>
      <c r="AH208">
        <v>2.2535305633605236</v>
      </c>
      <c r="AI208" t="s">
        <v>955</v>
      </c>
      <c r="AJ208" t="s">
        <v>74</v>
      </c>
      <c r="AK208">
        <v>-1.9917763103688864</v>
      </c>
      <c r="AL208">
        <v>0.49863220293944555</v>
      </c>
      <c r="AM208">
        <v>12</v>
      </c>
      <c r="AN208">
        <v>1</v>
      </c>
      <c r="AO208">
        <v>0.7061389402514533</v>
      </c>
      <c r="AP208">
        <v>-2.8206578009415861</v>
      </c>
      <c r="AQ208">
        <v>-3.3757832013430158</v>
      </c>
      <c r="AR208">
        <v>-0.60776941939475693</v>
      </c>
      <c r="AS208">
        <v>1701</v>
      </c>
      <c r="AT208" t="s">
        <v>73</v>
      </c>
      <c r="AU208" t="s">
        <v>60</v>
      </c>
      <c r="AV208" t="s">
        <v>74</v>
      </c>
      <c r="AW208" t="s">
        <v>74</v>
      </c>
      <c r="AX208" t="s">
        <v>74</v>
      </c>
      <c r="AY208" t="s">
        <v>837</v>
      </c>
    </row>
    <row r="209" spans="1:51" x14ac:dyDescent="0.75">
      <c r="A209" t="s">
        <v>1084</v>
      </c>
      <c r="B209" t="s">
        <v>834</v>
      </c>
      <c r="C209" t="s">
        <v>835</v>
      </c>
      <c r="D209" t="s">
        <v>1085</v>
      </c>
      <c r="F209" t="s">
        <v>56</v>
      </c>
      <c r="G209" t="s">
        <v>65</v>
      </c>
      <c r="L209" t="s">
        <v>68</v>
      </c>
      <c r="Q209" t="s">
        <v>768</v>
      </c>
      <c r="R209" t="s">
        <v>64</v>
      </c>
      <c r="T209" t="s">
        <v>66</v>
      </c>
      <c r="U209">
        <v>2</v>
      </c>
      <c r="V209" t="s">
        <v>91</v>
      </c>
      <c r="W209" t="s">
        <v>79</v>
      </c>
      <c r="X209" t="s">
        <v>139</v>
      </c>
      <c r="Y209" t="s">
        <v>68</v>
      </c>
      <c r="Z209" t="s">
        <v>69</v>
      </c>
      <c r="AA209">
        <v>3.6</v>
      </c>
      <c r="AB209" t="s">
        <v>65</v>
      </c>
      <c r="AC209">
        <v>8</v>
      </c>
      <c r="AD209">
        <v>5.1760216382855289</v>
      </c>
      <c r="AE209" t="s">
        <v>1086</v>
      </c>
      <c r="AF209">
        <v>36.78</v>
      </c>
      <c r="AG209">
        <v>8</v>
      </c>
      <c r="AH209">
        <v>8.7681240867131898</v>
      </c>
      <c r="AI209" t="s">
        <v>159</v>
      </c>
      <c r="AJ209" t="s">
        <v>74</v>
      </c>
      <c r="AK209">
        <v>4.3563858339638957</v>
      </c>
      <c r="AL209">
        <v>0.84306554794879085</v>
      </c>
      <c r="AM209">
        <v>16</v>
      </c>
      <c r="AN209">
        <v>1</v>
      </c>
      <c r="AO209">
        <v>0.91818600944949647</v>
      </c>
      <c r="AP209">
        <v>4.7445569733476889</v>
      </c>
      <c r="AQ209">
        <v>2.5567743243343291</v>
      </c>
      <c r="AR209">
        <v>6.1559973435934623</v>
      </c>
      <c r="AS209">
        <v>1732</v>
      </c>
      <c r="AT209" t="s">
        <v>95</v>
      </c>
      <c r="AU209" t="s">
        <v>60</v>
      </c>
      <c r="AV209" t="s">
        <v>74</v>
      </c>
      <c r="AW209" t="s">
        <v>60</v>
      </c>
      <c r="AX209" t="s">
        <v>96</v>
      </c>
      <c r="AY209" t="s">
        <v>837</v>
      </c>
    </row>
    <row r="210" spans="1:51" x14ac:dyDescent="0.75">
      <c r="A210" t="s">
        <v>1087</v>
      </c>
      <c r="B210" t="s">
        <v>834</v>
      </c>
      <c r="C210" t="s">
        <v>835</v>
      </c>
      <c r="D210" t="s">
        <v>1088</v>
      </c>
      <c r="E210" t="s">
        <v>1089</v>
      </c>
      <c r="F210" t="s">
        <v>56</v>
      </c>
      <c r="H210" t="s">
        <v>137</v>
      </c>
      <c r="K210" t="s">
        <v>110</v>
      </c>
      <c r="Q210" t="s">
        <v>63</v>
      </c>
      <c r="R210" t="s">
        <v>103</v>
      </c>
      <c r="T210" t="s">
        <v>66</v>
      </c>
      <c r="U210">
        <v>1</v>
      </c>
      <c r="W210" t="s">
        <v>79</v>
      </c>
      <c r="X210" t="s">
        <v>139</v>
      </c>
      <c r="Y210" t="s">
        <v>68</v>
      </c>
      <c r="Z210" t="s">
        <v>81</v>
      </c>
      <c r="AA210">
        <v>94</v>
      </c>
      <c r="AB210" t="s">
        <v>65</v>
      </c>
      <c r="AC210">
        <v>8</v>
      </c>
      <c r="AD210">
        <v>23.758787847868</v>
      </c>
      <c r="AE210" t="s">
        <v>717</v>
      </c>
      <c r="AF210">
        <v>29</v>
      </c>
      <c r="AG210">
        <v>8</v>
      </c>
      <c r="AH210">
        <v>6.5053823869162368</v>
      </c>
      <c r="AI210" t="s">
        <v>1090</v>
      </c>
      <c r="AJ210" t="s">
        <v>72</v>
      </c>
      <c r="AK210">
        <v>-3.527520845183981</v>
      </c>
      <c r="AL210">
        <v>0.63885635353773462</v>
      </c>
      <c r="AM210">
        <v>16</v>
      </c>
      <c r="AN210">
        <v>1</v>
      </c>
      <c r="AO210">
        <v>0.79928490135729113</v>
      </c>
      <c r="AP210">
        <v>-4.4133460286736126</v>
      </c>
      <c r="AQ210">
        <v>-5.0940904652309209</v>
      </c>
      <c r="AR210">
        <v>-1.9609512251370409</v>
      </c>
      <c r="AS210">
        <v>1768</v>
      </c>
      <c r="AT210" t="s">
        <v>73</v>
      </c>
      <c r="AU210" t="s">
        <v>60</v>
      </c>
      <c r="AV210" t="s">
        <v>74</v>
      </c>
      <c r="AW210" t="s">
        <v>74</v>
      </c>
      <c r="AX210" t="s">
        <v>74</v>
      </c>
      <c r="AY210" t="s">
        <v>74</v>
      </c>
    </row>
    <row r="211" spans="1:51" x14ac:dyDescent="0.75">
      <c r="A211" t="s">
        <v>1091</v>
      </c>
      <c r="B211" t="s">
        <v>834</v>
      </c>
      <c r="C211" t="s">
        <v>835</v>
      </c>
      <c r="D211" t="s">
        <v>1092</v>
      </c>
      <c r="E211" t="s">
        <v>1093</v>
      </c>
      <c r="K211" t="s">
        <v>129</v>
      </c>
      <c r="Q211" t="s">
        <v>63</v>
      </c>
      <c r="R211" t="s">
        <v>64</v>
      </c>
      <c r="S211" t="s">
        <v>820</v>
      </c>
      <c r="T211" t="s">
        <v>66</v>
      </c>
      <c r="U211">
        <v>1</v>
      </c>
      <c r="V211" t="s">
        <v>91</v>
      </c>
      <c r="W211" t="s">
        <v>79</v>
      </c>
      <c r="X211" t="s">
        <v>139</v>
      </c>
      <c r="Y211" t="s">
        <v>68</v>
      </c>
      <c r="Z211" t="s">
        <v>69</v>
      </c>
      <c r="AA211">
        <v>28</v>
      </c>
      <c r="AB211" t="s">
        <v>57</v>
      </c>
      <c r="AC211">
        <v>6</v>
      </c>
      <c r="AD211">
        <v>4.2376172550148974</v>
      </c>
      <c r="AE211" t="s">
        <v>1094</v>
      </c>
      <c r="AF211">
        <v>7.4</v>
      </c>
      <c r="AG211">
        <v>6</v>
      </c>
      <c r="AH211">
        <v>6.6626121003702439</v>
      </c>
      <c r="AI211" t="s">
        <v>1095</v>
      </c>
      <c r="AJ211" t="s">
        <v>72</v>
      </c>
      <c r="AK211">
        <v>-3.4045023491498436</v>
      </c>
      <c r="AL211">
        <v>0.8162765102236168</v>
      </c>
      <c r="AM211">
        <v>12</v>
      </c>
      <c r="AN211">
        <v>1</v>
      </c>
      <c r="AO211">
        <v>0.90348022126863237</v>
      </c>
      <c r="AP211">
        <v>-3.7682090531759198</v>
      </c>
      <c r="AQ211">
        <v>-5.1752910435806418</v>
      </c>
      <c r="AR211">
        <v>-1.6337136547190454</v>
      </c>
      <c r="AS211">
        <v>1818</v>
      </c>
      <c r="AT211" t="s">
        <v>73</v>
      </c>
      <c r="AU211" t="s">
        <v>60</v>
      </c>
      <c r="AV211" t="s">
        <v>96</v>
      </c>
      <c r="AW211" t="s">
        <v>60</v>
      </c>
      <c r="AX211" t="s">
        <v>74</v>
      </c>
      <c r="AY211" t="s">
        <v>863</v>
      </c>
    </row>
    <row r="212" spans="1:51" x14ac:dyDescent="0.75">
      <c r="A212" t="s">
        <v>1096</v>
      </c>
      <c r="B212" t="s">
        <v>834</v>
      </c>
      <c r="C212" t="s">
        <v>835</v>
      </c>
      <c r="D212" t="s">
        <v>1097</v>
      </c>
      <c r="E212" t="s">
        <v>1098</v>
      </c>
      <c r="F212" t="s">
        <v>56</v>
      </c>
      <c r="G212" t="s">
        <v>57</v>
      </c>
      <c r="H212" t="s">
        <v>101</v>
      </c>
      <c r="I212" t="s">
        <v>232</v>
      </c>
      <c r="K212" t="s">
        <v>78</v>
      </c>
      <c r="Q212" t="s">
        <v>63</v>
      </c>
      <c r="R212" t="s">
        <v>64</v>
      </c>
      <c r="T212" t="s">
        <v>66</v>
      </c>
      <c r="U212">
        <v>0.5</v>
      </c>
      <c r="W212" t="s">
        <v>79</v>
      </c>
      <c r="X212" t="s">
        <v>80</v>
      </c>
      <c r="Y212" t="s">
        <v>68</v>
      </c>
      <c r="Z212" t="s">
        <v>69</v>
      </c>
      <c r="AA212">
        <v>20.83</v>
      </c>
      <c r="AB212" t="s">
        <v>57</v>
      </c>
      <c r="AC212">
        <v>6</v>
      </c>
      <c r="AD212">
        <v>8.2547804331793095</v>
      </c>
      <c r="AE212" t="s">
        <v>1099</v>
      </c>
      <c r="AF212">
        <v>59.33</v>
      </c>
      <c r="AG212">
        <v>6</v>
      </c>
      <c r="AH212">
        <v>7.6669028949113462</v>
      </c>
      <c r="AI212" t="s">
        <v>1100</v>
      </c>
      <c r="AJ212" t="s">
        <v>72</v>
      </c>
      <c r="AK212">
        <v>4.4595176994863781</v>
      </c>
      <c r="AL212">
        <v>1.1619707546680116</v>
      </c>
      <c r="AM212">
        <v>12</v>
      </c>
      <c r="AN212">
        <v>1</v>
      </c>
      <c r="AO212">
        <v>1.0779474730560907</v>
      </c>
      <c r="AP212">
        <v>4.1370454599640105</v>
      </c>
      <c r="AQ212">
        <v>2.34677947507048</v>
      </c>
      <c r="AR212">
        <v>6.5722559239022758</v>
      </c>
      <c r="AS212">
        <v>1883</v>
      </c>
      <c r="AT212" t="s">
        <v>95</v>
      </c>
      <c r="AU212" t="s">
        <v>60</v>
      </c>
      <c r="AV212" t="s">
        <v>74</v>
      </c>
      <c r="AW212" t="s">
        <v>60</v>
      </c>
      <c r="AX212" t="s">
        <v>96</v>
      </c>
      <c r="AY212" t="s">
        <v>74</v>
      </c>
    </row>
    <row r="213" spans="1:51" x14ac:dyDescent="0.75">
      <c r="A213" t="s">
        <v>1101</v>
      </c>
      <c r="B213" t="s">
        <v>834</v>
      </c>
      <c r="C213" t="s">
        <v>835</v>
      </c>
      <c r="D213" t="s">
        <v>642</v>
      </c>
      <c r="E213" t="s">
        <v>643</v>
      </c>
      <c r="Q213" t="s">
        <v>63</v>
      </c>
      <c r="R213" t="s">
        <v>64</v>
      </c>
      <c r="T213" t="s">
        <v>66</v>
      </c>
      <c r="U213">
        <v>1</v>
      </c>
      <c r="V213" t="s">
        <v>91</v>
      </c>
      <c r="W213" t="s">
        <v>79</v>
      </c>
      <c r="X213" t="s">
        <v>80</v>
      </c>
      <c r="Y213" t="s">
        <v>68</v>
      </c>
      <c r="Z213" t="s">
        <v>69</v>
      </c>
      <c r="AA213">
        <v>36.11</v>
      </c>
      <c r="AB213" t="s">
        <v>57</v>
      </c>
      <c r="AC213">
        <v>6</v>
      </c>
      <c r="AD213">
        <v>4.3111019472983934</v>
      </c>
      <c r="AE213" t="s">
        <v>1102</v>
      </c>
      <c r="AF213">
        <v>40.65</v>
      </c>
      <c r="AG213">
        <v>6</v>
      </c>
      <c r="AH213">
        <v>4.9479692804220194</v>
      </c>
      <c r="AI213" t="s">
        <v>1103</v>
      </c>
      <c r="AJ213" t="s">
        <v>72</v>
      </c>
      <c r="AK213">
        <v>0.90276660485731641</v>
      </c>
      <c r="AL213">
        <v>0.3672911476185669</v>
      </c>
      <c r="AM213">
        <v>12</v>
      </c>
      <c r="AN213">
        <v>1</v>
      </c>
      <c r="AO213">
        <v>0.60604549962735221</v>
      </c>
      <c r="AP213">
        <v>1.4896020272610115</v>
      </c>
      <c r="AQ213">
        <v>-0.28506074740487652</v>
      </c>
      <c r="AR213">
        <v>2.0905939571195091</v>
      </c>
      <c r="AS213">
        <v>1885</v>
      </c>
      <c r="AT213" t="s">
        <v>95</v>
      </c>
      <c r="AU213" t="s">
        <v>60</v>
      </c>
      <c r="AV213" t="s">
        <v>74</v>
      </c>
      <c r="AW213" t="s">
        <v>74</v>
      </c>
      <c r="AX213" t="s">
        <v>74</v>
      </c>
      <c r="AY213" t="s">
        <v>74</v>
      </c>
    </row>
    <row r="214" spans="1:51" x14ac:dyDescent="0.75">
      <c r="A214" t="s">
        <v>1104</v>
      </c>
      <c r="B214" t="s">
        <v>834</v>
      </c>
      <c r="C214" t="s">
        <v>835</v>
      </c>
      <c r="D214" t="s">
        <v>1105</v>
      </c>
      <c r="E214" t="s">
        <v>657</v>
      </c>
      <c r="Q214" t="s">
        <v>293</v>
      </c>
      <c r="R214" t="s">
        <v>64</v>
      </c>
      <c r="T214" t="s">
        <v>66</v>
      </c>
      <c r="U214">
        <v>1</v>
      </c>
      <c r="V214" t="s">
        <v>67</v>
      </c>
      <c r="W214" t="s">
        <v>79</v>
      </c>
      <c r="X214" t="s">
        <v>80</v>
      </c>
      <c r="Y214" t="s">
        <v>68</v>
      </c>
      <c r="Z214" t="s">
        <v>69</v>
      </c>
      <c r="AA214">
        <v>15.69</v>
      </c>
      <c r="AB214" t="s">
        <v>109</v>
      </c>
      <c r="AC214">
        <v>12</v>
      </c>
      <c r="AD214">
        <v>6.2700239233993358</v>
      </c>
      <c r="AE214" t="s">
        <v>1106</v>
      </c>
      <c r="AF214">
        <v>17.420000000000002</v>
      </c>
      <c r="AG214">
        <v>12</v>
      </c>
      <c r="AH214">
        <v>8.2099208278764788</v>
      </c>
      <c r="AI214" t="s">
        <v>1107</v>
      </c>
      <c r="AJ214" t="s">
        <v>293</v>
      </c>
      <c r="AK214">
        <v>0.22865274263605548</v>
      </c>
      <c r="AL214">
        <v>0.16775587659822896</v>
      </c>
      <c r="AM214">
        <v>24</v>
      </c>
      <c r="AN214">
        <v>1</v>
      </c>
      <c r="AO214">
        <v>0.40958012231824553</v>
      </c>
      <c r="AP214">
        <v>0.55826132709241028</v>
      </c>
      <c r="AQ214">
        <v>-0.57410954589121566</v>
      </c>
      <c r="AR214">
        <v>1.0314150311633266</v>
      </c>
      <c r="AS214">
        <v>1915</v>
      </c>
      <c r="AT214" t="s">
        <v>95</v>
      </c>
      <c r="AU214" t="s">
        <v>60</v>
      </c>
      <c r="AV214" t="s">
        <v>84</v>
      </c>
      <c r="AW214" t="s">
        <v>74</v>
      </c>
      <c r="AX214" t="s">
        <v>74</v>
      </c>
      <c r="AY214" t="s">
        <v>74</v>
      </c>
    </row>
    <row r="215" spans="1:51" x14ac:dyDescent="0.75">
      <c r="A215" t="s">
        <v>1108</v>
      </c>
      <c r="B215" t="s">
        <v>834</v>
      </c>
      <c r="C215" t="s">
        <v>835</v>
      </c>
      <c r="D215" t="s">
        <v>656</v>
      </c>
      <c r="E215" t="s">
        <v>657</v>
      </c>
      <c r="Q215" t="s">
        <v>293</v>
      </c>
      <c r="R215" t="s">
        <v>64</v>
      </c>
      <c r="T215" t="s">
        <v>66</v>
      </c>
      <c r="U215">
        <v>1</v>
      </c>
      <c r="V215" t="s">
        <v>67</v>
      </c>
      <c r="W215" t="s">
        <v>79</v>
      </c>
      <c r="X215" t="s">
        <v>80</v>
      </c>
      <c r="Y215" t="s">
        <v>68</v>
      </c>
      <c r="Z215" t="s">
        <v>69</v>
      </c>
      <c r="AA215">
        <v>23.13</v>
      </c>
      <c r="AB215" t="s">
        <v>659</v>
      </c>
      <c r="AC215">
        <v>16</v>
      </c>
      <c r="AD215">
        <v>7.36</v>
      </c>
      <c r="AE215" t="s">
        <v>861</v>
      </c>
      <c r="AF215">
        <v>28.88</v>
      </c>
      <c r="AG215">
        <v>16</v>
      </c>
      <c r="AH215">
        <v>8.64</v>
      </c>
      <c r="AI215" t="s">
        <v>1109</v>
      </c>
      <c r="AJ215" t="s">
        <v>293</v>
      </c>
      <c r="AK215">
        <v>0.69837347848606723</v>
      </c>
      <c r="AL215">
        <v>0.13262071117894889</v>
      </c>
      <c r="AM215">
        <v>32</v>
      </c>
      <c r="AN215">
        <v>1</v>
      </c>
      <c r="AO215">
        <v>0.36417126627309421</v>
      </c>
      <c r="AP215">
        <v>1.9177061541213216</v>
      </c>
      <c r="AQ215">
        <v>-1.5389087613543406E-2</v>
      </c>
      <c r="AR215">
        <v>1.4121360445856779</v>
      </c>
      <c r="AS215">
        <v>1952</v>
      </c>
      <c r="AT215" t="s">
        <v>95</v>
      </c>
      <c r="AU215" t="s">
        <v>60</v>
      </c>
      <c r="AV215" t="s">
        <v>74</v>
      </c>
      <c r="AW215" t="s">
        <v>60</v>
      </c>
      <c r="AX215" t="s">
        <v>96</v>
      </c>
      <c r="AY215" t="s">
        <v>837</v>
      </c>
    </row>
    <row r="216" spans="1:51" x14ac:dyDescent="0.75">
      <c r="A216" t="s">
        <v>1110</v>
      </c>
      <c r="B216" t="s">
        <v>834</v>
      </c>
      <c r="C216" t="s">
        <v>835</v>
      </c>
      <c r="D216" t="s">
        <v>663</v>
      </c>
      <c r="E216" t="s">
        <v>1111</v>
      </c>
      <c r="H216" t="s">
        <v>128</v>
      </c>
      <c r="I216" t="s">
        <v>232</v>
      </c>
      <c r="Q216" t="s">
        <v>63</v>
      </c>
      <c r="R216" t="s">
        <v>64</v>
      </c>
      <c r="T216" t="s">
        <v>66</v>
      </c>
      <c r="U216">
        <v>0.5</v>
      </c>
      <c r="V216" t="s">
        <v>91</v>
      </c>
      <c r="W216" t="s">
        <v>79</v>
      </c>
      <c r="X216" t="s">
        <v>80</v>
      </c>
      <c r="Y216" t="s">
        <v>68</v>
      </c>
      <c r="Z216" t="s">
        <v>69</v>
      </c>
      <c r="AA216">
        <v>4.47</v>
      </c>
      <c r="AB216" t="s">
        <v>51</v>
      </c>
      <c r="AC216">
        <v>10</v>
      </c>
      <c r="AD216">
        <v>1.18</v>
      </c>
      <c r="AE216" t="s">
        <v>1112</v>
      </c>
      <c r="AF216">
        <v>12.25</v>
      </c>
      <c r="AG216">
        <v>10</v>
      </c>
      <c r="AH216">
        <v>3.7799999999999994</v>
      </c>
      <c r="AI216" t="s">
        <v>1113</v>
      </c>
      <c r="AJ216" t="s">
        <v>72</v>
      </c>
      <c r="AK216">
        <v>2.660821123577505</v>
      </c>
      <c r="AL216">
        <v>0.37699922629190641</v>
      </c>
      <c r="AM216">
        <v>20</v>
      </c>
      <c r="AN216">
        <v>1</v>
      </c>
      <c r="AO216">
        <v>0.61400262726791843</v>
      </c>
      <c r="AP216">
        <v>4.3335663487584108</v>
      </c>
      <c r="AQ216">
        <v>1.4573980877194141</v>
      </c>
      <c r="AR216">
        <v>3.8642441594355956</v>
      </c>
      <c r="AS216">
        <v>1964</v>
      </c>
      <c r="AT216" t="s">
        <v>95</v>
      </c>
      <c r="AU216" t="s">
        <v>60</v>
      </c>
      <c r="AV216" t="s">
        <v>74</v>
      </c>
      <c r="AW216" t="s">
        <v>60</v>
      </c>
      <c r="AX216" t="s">
        <v>96</v>
      </c>
      <c r="AY216" t="s">
        <v>74</v>
      </c>
    </row>
    <row r="217" spans="1:51" x14ac:dyDescent="0.75">
      <c r="A217" t="s">
        <v>1114</v>
      </c>
      <c r="B217" t="s">
        <v>834</v>
      </c>
      <c r="C217" t="s">
        <v>835</v>
      </c>
      <c r="D217" t="s">
        <v>1115</v>
      </c>
      <c r="E217" t="s">
        <v>1116</v>
      </c>
      <c r="H217" t="s">
        <v>128</v>
      </c>
      <c r="Q217" t="s">
        <v>293</v>
      </c>
      <c r="R217" t="s">
        <v>64</v>
      </c>
      <c r="T217" t="s">
        <v>66</v>
      </c>
      <c r="U217">
        <v>0.3</v>
      </c>
      <c r="V217" t="s">
        <v>91</v>
      </c>
      <c r="W217" t="s">
        <v>79</v>
      </c>
      <c r="X217" t="s">
        <v>139</v>
      </c>
      <c r="Y217" t="s">
        <v>68</v>
      </c>
      <c r="Z217" t="s">
        <v>69</v>
      </c>
      <c r="AA217">
        <v>22.49</v>
      </c>
      <c r="AB217" t="s">
        <v>51</v>
      </c>
      <c r="AC217">
        <v>10</v>
      </c>
      <c r="AD217">
        <v>9.9927974061320803</v>
      </c>
      <c r="AE217" t="s">
        <v>1117</v>
      </c>
      <c r="AF217">
        <v>32.71</v>
      </c>
      <c r="AG217">
        <v>16</v>
      </c>
      <c r="AH217">
        <v>8.16</v>
      </c>
      <c r="AI217" t="s">
        <v>173</v>
      </c>
      <c r="AJ217" t="s">
        <v>293</v>
      </c>
      <c r="AK217">
        <v>1.1130282477410789</v>
      </c>
      <c r="AL217">
        <v>0.18632369000518417</v>
      </c>
      <c r="AM217">
        <v>26</v>
      </c>
      <c r="AN217">
        <v>1</v>
      </c>
      <c r="AO217">
        <v>0.43165227904551157</v>
      </c>
      <c r="AP217">
        <v>2.5785297605801034</v>
      </c>
      <c r="AQ217">
        <v>0.26700532696724288</v>
      </c>
      <c r="AR217">
        <v>1.959051168514915</v>
      </c>
      <c r="AS217">
        <v>1984</v>
      </c>
      <c r="AT217" t="s">
        <v>95</v>
      </c>
      <c r="AU217" t="s">
        <v>60</v>
      </c>
      <c r="AV217" t="s">
        <v>74</v>
      </c>
      <c r="AW217" t="s">
        <v>60</v>
      </c>
      <c r="AX217" t="s">
        <v>96</v>
      </c>
      <c r="AY217" t="s">
        <v>837</v>
      </c>
    </row>
    <row r="218" spans="1:51" x14ac:dyDescent="0.75">
      <c r="A218" t="s">
        <v>1118</v>
      </c>
      <c r="B218" t="s">
        <v>834</v>
      </c>
      <c r="C218" t="s">
        <v>835</v>
      </c>
      <c r="D218" t="s">
        <v>667</v>
      </c>
      <c r="E218" t="s">
        <v>668</v>
      </c>
      <c r="H218" t="s">
        <v>119</v>
      </c>
      <c r="L218" t="s">
        <v>60</v>
      </c>
      <c r="P218" t="s">
        <v>669</v>
      </c>
      <c r="Q218" t="s">
        <v>63</v>
      </c>
      <c r="R218" t="s">
        <v>64</v>
      </c>
      <c r="T218" t="s">
        <v>66</v>
      </c>
      <c r="U218">
        <v>1</v>
      </c>
      <c r="W218" t="s">
        <v>79</v>
      </c>
      <c r="X218" t="s">
        <v>139</v>
      </c>
      <c r="Y218" t="s">
        <v>68</v>
      </c>
      <c r="Z218" t="s">
        <v>69</v>
      </c>
      <c r="AA218">
        <v>39.520000000000003</v>
      </c>
      <c r="AB218" t="s">
        <v>51</v>
      </c>
      <c r="AC218">
        <v>10</v>
      </c>
      <c r="AD218">
        <v>6.8305197459636888</v>
      </c>
      <c r="AE218" t="s">
        <v>1119</v>
      </c>
      <c r="AF218">
        <v>20.18</v>
      </c>
      <c r="AG218">
        <v>10</v>
      </c>
      <c r="AH218">
        <v>10.973103480784273</v>
      </c>
      <c r="AI218" t="s">
        <v>1120</v>
      </c>
      <c r="AJ218" t="s">
        <v>72</v>
      </c>
      <c r="AK218">
        <v>-2.0264408085660714</v>
      </c>
      <c r="AL218">
        <v>0.30266155876554784</v>
      </c>
      <c r="AM218">
        <v>20</v>
      </c>
      <c r="AN218">
        <v>1</v>
      </c>
      <c r="AO218">
        <v>0.55014685200003444</v>
      </c>
      <c r="AP218">
        <v>-3.6834543380536231</v>
      </c>
      <c r="AQ218">
        <v>-3.1047088246942263</v>
      </c>
      <c r="AR218">
        <v>-0.94817279243791663</v>
      </c>
      <c r="AS218">
        <v>1988</v>
      </c>
      <c r="AT218" t="s">
        <v>73</v>
      </c>
      <c r="AU218" t="s">
        <v>60</v>
      </c>
      <c r="AV218" t="s">
        <v>74</v>
      </c>
      <c r="AW218" t="s">
        <v>74</v>
      </c>
      <c r="AX218" t="s">
        <v>84</v>
      </c>
      <c r="AY218" t="s">
        <v>837</v>
      </c>
    </row>
    <row r="219" spans="1:51" x14ac:dyDescent="0.75">
      <c r="A219" t="s">
        <v>1121</v>
      </c>
      <c r="B219" t="s">
        <v>834</v>
      </c>
      <c r="C219" t="s">
        <v>835</v>
      </c>
      <c r="D219" t="s">
        <v>673</v>
      </c>
      <c r="H219" t="s">
        <v>119</v>
      </c>
      <c r="Q219" t="s">
        <v>72</v>
      </c>
      <c r="R219" t="s">
        <v>64</v>
      </c>
      <c r="T219" t="s">
        <v>66</v>
      </c>
      <c r="U219">
        <v>2</v>
      </c>
      <c r="V219" t="s">
        <v>91</v>
      </c>
      <c r="Y219" t="s">
        <v>68</v>
      </c>
      <c r="Z219" t="s">
        <v>69</v>
      </c>
      <c r="AA219">
        <v>30.68</v>
      </c>
      <c r="AB219" t="s">
        <v>1122</v>
      </c>
      <c r="AC219">
        <v>17</v>
      </c>
      <c r="AD219">
        <v>6.2671205509388441</v>
      </c>
      <c r="AE219" t="s">
        <v>1042</v>
      </c>
      <c r="AF219">
        <v>45.42</v>
      </c>
      <c r="AG219">
        <v>8</v>
      </c>
      <c r="AH219">
        <v>4.8083261120685235</v>
      </c>
      <c r="AI219" t="s">
        <v>1123</v>
      </c>
      <c r="AJ219" t="s">
        <v>72</v>
      </c>
      <c r="AK219">
        <v>2.4315764944786817</v>
      </c>
      <c r="AL219">
        <v>0.3020748143817894</v>
      </c>
      <c r="AM219">
        <v>25</v>
      </c>
      <c r="AN219">
        <v>1</v>
      </c>
      <c r="AO219">
        <v>0.54961333169946802</v>
      </c>
      <c r="AP219">
        <v>4.4241585024147172</v>
      </c>
      <c r="AQ219">
        <v>1.3543541589246582</v>
      </c>
      <c r="AR219">
        <v>3.5087988300327053</v>
      </c>
      <c r="AS219">
        <v>1996</v>
      </c>
      <c r="AT219" t="s">
        <v>95</v>
      </c>
      <c r="AU219" t="s">
        <v>60</v>
      </c>
      <c r="AV219" t="s">
        <v>96</v>
      </c>
      <c r="AW219" t="s">
        <v>60</v>
      </c>
      <c r="AX219" t="s">
        <v>96</v>
      </c>
      <c r="AY219" t="s">
        <v>837</v>
      </c>
    </row>
    <row r="220" spans="1:51" x14ac:dyDescent="0.75">
      <c r="A220" t="s">
        <v>1124</v>
      </c>
      <c r="B220" t="s">
        <v>834</v>
      </c>
      <c r="C220" t="s">
        <v>835</v>
      </c>
      <c r="D220" t="s">
        <v>680</v>
      </c>
      <c r="E220" t="s">
        <v>615</v>
      </c>
      <c r="F220" t="s">
        <v>56</v>
      </c>
      <c r="G220" t="s">
        <v>69</v>
      </c>
      <c r="H220" t="s">
        <v>137</v>
      </c>
      <c r="I220" t="s">
        <v>80</v>
      </c>
      <c r="K220" t="s">
        <v>78</v>
      </c>
      <c r="Q220" t="s">
        <v>63</v>
      </c>
      <c r="R220" t="s">
        <v>64</v>
      </c>
      <c r="S220" t="s">
        <v>122</v>
      </c>
      <c r="T220" t="s">
        <v>66</v>
      </c>
      <c r="U220">
        <v>2</v>
      </c>
      <c r="V220" t="s">
        <v>91</v>
      </c>
      <c r="W220" t="s">
        <v>79</v>
      </c>
      <c r="X220" t="s">
        <v>139</v>
      </c>
      <c r="Y220" t="s">
        <v>68</v>
      </c>
      <c r="Z220" t="s">
        <v>69</v>
      </c>
      <c r="AA220">
        <v>41.83</v>
      </c>
      <c r="AB220" t="s">
        <v>57</v>
      </c>
      <c r="AC220">
        <v>6</v>
      </c>
      <c r="AD220">
        <v>7.3484692283495336</v>
      </c>
      <c r="AE220" t="s">
        <v>81</v>
      </c>
      <c r="AF220">
        <v>16.079999999999998</v>
      </c>
      <c r="AG220">
        <v>6</v>
      </c>
      <c r="AH220">
        <v>6.0747345621022815</v>
      </c>
      <c r="AI220" t="s">
        <v>1068</v>
      </c>
      <c r="AJ220" t="s">
        <v>72</v>
      </c>
      <c r="AK220">
        <v>-3.5244109606548868</v>
      </c>
      <c r="AL220">
        <v>0.85089469248267924</v>
      </c>
      <c r="AM220">
        <v>12</v>
      </c>
      <c r="AN220">
        <v>1</v>
      </c>
      <c r="AO220">
        <v>0.92243953323926831</v>
      </c>
      <c r="AP220">
        <v>-3.8207501236188914</v>
      </c>
      <c r="AQ220">
        <v>-5.3323592237197905</v>
      </c>
      <c r="AR220">
        <v>-1.716462697589983</v>
      </c>
      <c r="AS220">
        <v>2009</v>
      </c>
      <c r="AT220" t="s">
        <v>73</v>
      </c>
      <c r="AU220" t="s">
        <v>60</v>
      </c>
      <c r="AV220" t="s">
        <v>74</v>
      </c>
      <c r="AW220" t="s">
        <v>74</v>
      </c>
      <c r="AX220" t="s">
        <v>84</v>
      </c>
      <c r="AY220" t="s">
        <v>837</v>
      </c>
    </row>
    <row r="221" spans="1:51" x14ac:dyDescent="0.75">
      <c r="A221" t="s">
        <v>1125</v>
      </c>
      <c r="B221" t="s">
        <v>834</v>
      </c>
      <c r="C221" t="s">
        <v>835</v>
      </c>
      <c r="D221" t="s">
        <v>1126</v>
      </c>
      <c r="E221" t="s">
        <v>1127</v>
      </c>
      <c r="Q221" t="s">
        <v>138</v>
      </c>
      <c r="R221" t="s">
        <v>103</v>
      </c>
      <c r="T221" t="s">
        <v>66</v>
      </c>
      <c r="U221">
        <v>2</v>
      </c>
      <c r="V221" t="s">
        <v>91</v>
      </c>
      <c r="W221" t="s">
        <v>79</v>
      </c>
      <c r="X221" t="s">
        <v>80</v>
      </c>
      <c r="Y221" t="s">
        <v>68</v>
      </c>
      <c r="Z221" t="s">
        <v>69</v>
      </c>
      <c r="AA221">
        <v>15.33</v>
      </c>
      <c r="AB221" t="s">
        <v>57</v>
      </c>
      <c r="AC221">
        <v>6</v>
      </c>
      <c r="AD221">
        <v>4.1641325627314023</v>
      </c>
      <c r="AE221" t="s">
        <v>1123</v>
      </c>
      <c r="AF221">
        <v>31.67</v>
      </c>
      <c r="AG221">
        <v>6</v>
      </c>
      <c r="AH221">
        <v>5.6093315109734778</v>
      </c>
      <c r="AI221" t="s">
        <v>1128</v>
      </c>
      <c r="AJ221" t="s">
        <v>74</v>
      </c>
      <c r="AK221">
        <v>3.052239848470141</v>
      </c>
      <c r="AL221">
        <v>0.72150700385787614</v>
      </c>
      <c r="AM221">
        <v>12</v>
      </c>
      <c r="AN221">
        <v>1</v>
      </c>
      <c r="AO221">
        <v>0.84941568378378562</v>
      </c>
      <c r="AP221">
        <v>3.5933405831096863</v>
      </c>
      <c r="AQ221">
        <v>1.3874157003504581</v>
      </c>
      <c r="AR221">
        <v>4.7170639965898236</v>
      </c>
      <c r="AS221">
        <v>2048</v>
      </c>
      <c r="AT221" t="s">
        <v>95</v>
      </c>
      <c r="AU221" t="s">
        <v>60</v>
      </c>
      <c r="AV221" t="s">
        <v>74</v>
      </c>
      <c r="AW221" t="s">
        <v>60</v>
      </c>
      <c r="AX221" t="s">
        <v>96</v>
      </c>
      <c r="AY221" t="s">
        <v>837</v>
      </c>
    </row>
    <row r="222" spans="1:51" x14ac:dyDescent="0.75">
      <c r="A222" t="s">
        <v>1129</v>
      </c>
      <c r="B222" t="s">
        <v>834</v>
      </c>
      <c r="C222" t="s">
        <v>835</v>
      </c>
      <c r="D222" t="s">
        <v>1130</v>
      </c>
      <c r="E222" t="s">
        <v>1131</v>
      </c>
      <c r="H222" t="s">
        <v>137</v>
      </c>
      <c r="I222" t="s">
        <v>80</v>
      </c>
      <c r="Q222" t="s">
        <v>138</v>
      </c>
      <c r="R222" t="s">
        <v>103</v>
      </c>
      <c r="T222" t="s">
        <v>66</v>
      </c>
      <c r="U222">
        <v>1</v>
      </c>
      <c r="Y222" t="s">
        <v>68</v>
      </c>
      <c r="Z222" t="s">
        <v>69</v>
      </c>
      <c r="AA222">
        <v>44.8</v>
      </c>
      <c r="AB222" t="s">
        <v>69</v>
      </c>
      <c r="AC222">
        <v>5</v>
      </c>
      <c r="AD222">
        <v>2.7727242920997393</v>
      </c>
      <c r="AE222" t="s">
        <v>1008</v>
      </c>
      <c r="AF222">
        <v>29.6</v>
      </c>
      <c r="AG222">
        <v>5</v>
      </c>
      <c r="AH222">
        <v>2.0795432190748047</v>
      </c>
      <c r="AI222" t="s">
        <v>883</v>
      </c>
      <c r="AJ222" t="s">
        <v>74</v>
      </c>
      <c r="AK222">
        <v>-5.5986965812690794</v>
      </c>
      <c r="AL222">
        <v>1.9672701704557038</v>
      </c>
      <c r="AM222">
        <v>10</v>
      </c>
      <c r="AN222">
        <v>1</v>
      </c>
      <c r="AO222">
        <v>1.4025940861331563</v>
      </c>
      <c r="AP222">
        <v>-3.9916727416869797</v>
      </c>
      <c r="AQ222">
        <v>-8.3477304750189365</v>
      </c>
      <c r="AR222">
        <v>-2.8496626875192228</v>
      </c>
      <c r="AS222">
        <v>2169</v>
      </c>
      <c r="AT222" t="s">
        <v>73</v>
      </c>
      <c r="AU222" t="s">
        <v>60</v>
      </c>
      <c r="AV222" t="s">
        <v>84</v>
      </c>
      <c r="AW222" t="s">
        <v>74</v>
      </c>
      <c r="AX222" t="s">
        <v>84</v>
      </c>
      <c r="AY222" t="s">
        <v>863</v>
      </c>
    </row>
    <row r="223" spans="1:51" x14ac:dyDescent="0.75">
      <c r="A223" t="s">
        <v>1132</v>
      </c>
      <c r="B223" t="s">
        <v>834</v>
      </c>
      <c r="C223" t="s">
        <v>835</v>
      </c>
      <c r="D223" t="s">
        <v>1133</v>
      </c>
      <c r="E223" t="s">
        <v>1134</v>
      </c>
      <c r="H223" t="s">
        <v>101</v>
      </c>
      <c r="I223" t="s">
        <v>232</v>
      </c>
      <c r="J223" t="s">
        <v>1135</v>
      </c>
      <c r="Q223" t="s">
        <v>90</v>
      </c>
      <c r="R223" t="s">
        <v>64</v>
      </c>
      <c r="T223" t="s">
        <v>66</v>
      </c>
      <c r="U223">
        <v>1</v>
      </c>
      <c r="W223" t="s">
        <v>79</v>
      </c>
      <c r="X223" t="s">
        <v>139</v>
      </c>
      <c r="Y223" t="s">
        <v>68</v>
      </c>
      <c r="Z223" t="s">
        <v>57</v>
      </c>
      <c r="AA223">
        <v>53.19</v>
      </c>
      <c r="AB223" t="s">
        <v>51</v>
      </c>
      <c r="AC223">
        <v>10</v>
      </c>
      <c r="AD223">
        <v>14.989196109198119</v>
      </c>
      <c r="AE223" t="s">
        <v>1136</v>
      </c>
      <c r="AF223">
        <v>88.86</v>
      </c>
      <c r="AG223">
        <v>10</v>
      </c>
      <c r="AH223">
        <v>20.206954248475945</v>
      </c>
      <c r="AI223" t="s">
        <v>1137</v>
      </c>
      <c r="AJ223" t="s">
        <v>74</v>
      </c>
      <c r="AK223">
        <v>1.9200939267562649</v>
      </c>
      <c r="AL223">
        <v>0.29216901718915733</v>
      </c>
      <c r="AM223">
        <v>20</v>
      </c>
      <c r="AN223">
        <v>1</v>
      </c>
      <c r="AO223">
        <v>0.54052661099076083</v>
      </c>
      <c r="AP223">
        <v>3.552265305193429</v>
      </c>
      <c r="AQ223">
        <v>0.86068123652888162</v>
      </c>
      <c r="AR223">
        <v>2.9795066169836479</v>
      </c>
      <c r="AS223">
        <v>2231</v>
      </c>
      <c r="AT223" t="s">
        <v>95</v>
      </c>
      <c r="AU223" t="s">
        <v>60</v>
      </c>
      <c r="AV223" t="s">
        <v>74</v>
      </c>
      <c r="AW223" t="s">
        <v>60</v>
      </c>
      <c r="AX223" t="s">
        <v>96</v>
      </c>
      <c r="AY223" t="s">
        <v>74</v>
      </c>
    </row>
    <row r="224" spans="1:51" x14ac:dyDescent="0.75">
      <c r="A224" t="s">
        <v>1138</v>
      </c>
      <c r="B224" t="s">
        <v>834</v>
      </c>
      <c r="C224" t="s">
        <v>835</v>
      </c>
      <c r="D224" t="s">
        <v>1139</v>
      </c>
      <c r="E224" t="s">
        <v>1140</v>
      </c>
      <c r="Q224" t="s">
        <v>138</v>
      </c>
      <c r="R224" t="s">
        <v>103</v>
      </c>
      <c r="T224" t="s">
        <v>66</v>
      </c>
      <c r="U224">
        <v>1</v>
      </c>
      <c r="V224" t="s">
        <v>91</v>
      </c>
      <c r="W224" t="s">
        <v>79</v>
      </c>
      <c r="X224" t="s">
        <v>139</v>
      </c>
      <c r="Y224" t="s">
        <v>68</v>
      </c>
      <c r="Z224" t="s">
        <v>69</v>
      </c>
      <c r="AA224">
        <v>24.17</v>
      </c>
      <c r="AB224" t="s">
        <v>57</v>
      </c>
      <c r="AC224">
        <v>6</v>
      </c>
      <c r="AD224">
        <v>2.8659029990563178</v>
      </c>
      <c r="AE224" t="s">
        <v>1141</v>
      </c>
      <c r="AF224">
        <v>37.92</v>
      </c>
      <c r="AG224">
        <v>6</v>
      </c>
      <c r="AH224">
        <v>3.3802958450407852</v>
      </c>
      <c r="AI224" t="s">
        <v>1142</v>
      </c>
      <c r="AJ224" t="s">
        <v>74</v>
      </c>
      <c r="AK224">
        <v>4.0488450106615455</v>
      </c>
      <c r="AL224">
        <v>1.0163810800149538</v>
      </c>
      <c r="AM224">
        <v>12</v>
      </c>
      <c r="AN224">
        <v>1</v>
      </c>
      <c r="AO224">
        <v>1.0081572694847534</v>
      </c>
      <c r="AP224">
        <v>4.0160847252838039</v>
      </c>
      <c r="AQ224">
        <v>2.0728930717191876</v>
      </c>
      <c r="AR224">
        <v>6.0247969496039033</v>
      </c>
      <c r="AS224">
        <v>2245</v>
      </c>
      <c r="AT224" t="s">
        <v>95</v>
      </c>
      <c r="AU224" t="s">
        <v>60</v>
      </c>
      <c r="AV224" t="s">
        <v>96</v>
      </c>
      <c r="AW224" t="s">
        <v>60</v>
      </c>
      <c r="AX224" t="s">
        <v>96</v>
      </c>
      <c r="AY224" t="s">
        <v>837</v>
      </c>
    </row>
    <row r="225" spans="1:51" x14ac:dyDescent="0.75">
      <c r="A225" t="s">
        <v>1143</v>
      </c>
      <c r="B225" t="s">
        <v>834</v>
      </c>
      <c r="C225" t="s">
        <v>835</v>
      </c>
      <c r="D225" t="s">
        <v>1144</v>
      </c>
      <c r="E225" t="s">
        <v>1145</v>
      </c>
      <c r="H225" t="s">
        <v>101</v>
      </c>
      <c r="I225" t="s">
        <v>80</v>
      </c>
      <c r="K225" t="s">
        <v>129</v>
      </c>
      <c r="Q225" t="s">
        <v>1146</v>
      </c>
      <c r="R225" t="s">
        <v>64</v>
      </c>
      <c r="S225" t="s">
        <v>51</v>
      </c>
      <c r="T225" t="s">
        <v>66</v>
      </c>
      <c r="U225">
        <v>1</v>
      </c>
      <c r="V225" t="s">
        <v>91</v>
      </c>
      <c r="W225" t="s">
        <v>79</v>
      </c>
      <c r="X225" t="s">
        <v>139</v>
      </c>
      <c r="Y225" t="s">
        <v>68</v>
      </c>
      <c r="Z225" t="s">
        <v>69</v>
      </c>
      <c r="AA225">
        <v>10.23</v>
      </c>
      <c r="AB225" t="s">
        <v>69</v>
      </c>
      <c r="AC225">
        <v>5</v>
      </c>
      <c r="AD225">
        <v>5.7466947021744597</v>
      </c>
      <c r="AE225" t="s">
        <v>1147</v>
      </c>
      <c r="AF225">
        <v>2.85</v>
      </c>
      <c r="AG225">
        <v>5</v>
      </c>
      <c r="AH225">
        <v>5.9032194605994457</v>
      </c>
      <c r="AI225" t="s">
        <v>1148</v>
      </c>
      <c r="AJ225" t="s">
        <v>239</v>
      </c>
      <c r="AK225">
        <v>-1.1435877191350885</v>
      </c>
      <c r="AL225">
        <v>0.46538964356782975</v>
      </c>
      <c r="AM225">
        <v>10</v>
      </c>
      <c r="AN225">
        <v>1</v>
      </c>
      <c r="AO225">
        <v>0.6821947255496994</v>
      </c>
      <c r="AP225">
        <v>-1.6763362076914439</v>
      </c>
      <c r="AQ225">
        <v>-2.4806648116556858</v>
      </c>
      <c r="AR225">
        <v>0.19348937338550876</v>
      </c>
      <c r="AS225">
        <v>2246</v>
      </c>
      <c r="AT225" t="s">
        <v>95</v>
      </c>
      <c r="AU225" t="s">
        <v>60</v>
      </c>
      <c r="AV225" t="s">
        <v>74</v>
      </c>
      <c r="AW225" t="s">
        <v>60</v>
      </c>
      <c r="AX225" t="s">
        <v>96</v>
      </c>
      <c r="AY225" t="s">
        <v>837</v>
      </c>
    </row>
    <row r="226" spans="1:51" x14ac:dyDescent="0.75">
      <c r="A226" t="s">
        <v>1149</v>
      </c>
      <c r="B226" t="s">
        <v>834</v>
      </c>
      <c r="C226" t="s">
        <v>835</v>
      </c>
      <c r="D226" t="s">
        <v>1150</v>
      </c>
      <c r="E226" t="s">
        <v>1151</v>
      </c>
      <c r="H226" t="s">
        <v>101</v>
      </c>
      <c r="Q226" t="s">
        <v>63</v>
      </c>
      <c r="R226" t="s">
        <v>64</v>
      </c>
      <c r="T226" t="s">
        <v>66</v>
      </c>
      <c r="U226">
        <v>0.5</v>
      </c>
      <c r="V226" t="s">
        <v>91</v>
      </c>
      <c r="Y226" t="s">
        <v>68</v>
      </c>
      <c r="Z226" t="s">
        <v>69</v>
      </c>
      <c r="AA226">
        <v>41.81</v>
      </c>
      <c r="AB226" t="s">
        <v>57</v>
      </c>
      <c r="AC226">
        <v>6</v>
      </c>
      <c r="AD226">
        <v>19.106019993708788</v>
      </c>
      <c r="AE226" t="s">
        <v>105</v>
      </c>
      <c r="AF226">
        <v>17.11</v>
      </c>
      <c r="AG226">
        <v>6</v>
      </c>
      <c r="AH226">
        <v>7.3484692283495336</v>
      </c>
      <c r="AI226" t="s">
        <v>81</v>
      </c>
      <c r="AJ226" t="s">
        <v>72</v>
      </c>
      <c r="AK226">
        <v>-1.5745853170091597</v>
      </c>
      <c r="AL226">
        <v>0.43663828835586815</v>
      </c>
      <c r="AM226">
        <v>12</v>
      </c>
      <c r="AN226">
        <v>1</v>
      </c>
      <c r="AO226">
        <v>0.66078611392482223</v>
      </c>
      <c r="AP226">
        <v>-2.3828971036584172</v>
      </c>
      <c r="AQ226">
        <v>-2.8697023017859919</v>
      </c>
      <c r="AR226">
        <v>-0.27946833223232725</v>
      </c>
      <c r="AS226">
        <v>2249</v>
      </c>
      <c r="AT226" t="s">
        <v>73</v>
      </c>
      <c r="AU226" t="s">
        <v>60</v>
      </c>
      <c r="AV226" t="s">
        <v>74</v>
      </c>
      <c r="AW226" t="s">
        <v>74</v>
      </c>
      <c r="AX226" t="s">
        <v>84</v>
      </c>
      <c r="AY226" t="s">
        <v>837</v>
      </c>
    </row>
    <row r="227" spans="1:51" x14ac:dyDescent="0.75">
      <c r="A227" t="s">
        <v>1152</v>
      </c>
      <c r="B227" t="s">
        <v>834</v>
      </c>
      <c r="C227" t="s">
        <v>835</v>
      </c>
      <c r="D227" t="s">
        <v>766</v>
      </c>
      <c r="E227" t="s">
        <v>767</v>
      </c>
      <c r="H227" t="s">
        <v>101</v>
      </c>
      <c r="Q227" t="s">
        <v>768</v>
      </c>
      <c r="R227" t="s">
        <v>64</v>
      </c>
      <c r="T227" t="s">
        <v>66</v>
      </c>
      <c r="U227">
        <v>1</v>
      </c>
      <c r="V227" t="s">
        <v>91</v>
      </c>
      <c r="W227" t="s">
        <v>79</v>
      </c>
      <c r="X227" t="s">
        <v>80</v>
      </c>
      <c r="Y227" t="s">
        <v>68</v>
      </c>
      <c r="Z227" t="s">
        <v>81</v>
      </c>
      <c r="AA227">
        <v>67.709999999999994</v>
      </c>
      <c r="AB227" t="s">
        <v>57</v>
      </c>
      <c r="AC227">
        <v>6</v>
      </c>
      <c r="AD227">
        <v>8.5977089971689669</v>
      </c>
      <c r="AE227" t="s">
        <v>1153</v>
      </c>
      <c r="AF227">
        <v>31.72</v>
      </c>
      <c r="AG227">
        <v>6</v>
      </c>
      <c r="AH227">
        <v>10.140887535122356</v>
      </c>
      <c r="AI227" t="s">
        <v>222</v>
      </c>
      <c r="AJ227" t="s">
        <v>74</v>
      </c>
      <c r="AK227">
        <v>-3.5325559256656711</v>
      </c>
      <c r="AL227">
        <v>0.85328964033148536</v>
      </c>
      <c r="AM227">
        <v>12</v>
      </c>
      <c r="AN227">
        <v>1</v>
      </c>
      <c r="AO227">
        <v>0.92373678086968336</v>
      </c>
      <c r="AP227">
        <v>-3.8242018709483738</v>
      </c>
      <c r="AQ227">
        <v>-5.3430467473652179</v>
      </c>
      <c r="AR227">
        <v>-1.7220651039661239</v>
      </c>
      <c r="AS227">
        <v>2287</v>
      </c>
      <c r="AT227" t="s">
        <v>73</v>
      </c>
      <c r="AU227" t="s">
        <v>60</v>
      </c>
      <c r="AV227" t="s">
        <v>74</v>
      </c>
      <c r="AW227" t="s">
        <v>74</v>
      </c>
      <c r="AX227" t="s">
        <v>96</v>
      </c>
      <c r="AY227" t="s">
        <v>863</v>
      </c>
    </row>
    <row r="228" spans="1:51" x14ac:dyDescent="0.75">
      <c r="A228" t="s">
        <v>1154</v>
      </c>
      <c r="B228" t="s">
        <v>834</v>
      </c>
      <c r="C228" t="s">
        <v>835</v>
      </c>
      <c r="D228" t="s">
        <v>771</v>
      </c>
      <c r="E228" t="s">
        <v>772</v>
      </c>
      <c r="H228" t="s">
        <v>139</v>
      </c>
      <c r="I228" t="s">
        <v>59</v>
      </c>
      <c r="Q228" t="s">
        <v>63</v>
      </c>
      <c r="R228" t="s">
        <v>103</v>
      </c>
      <c r="T228" t="s">
        <v>66</v>
      </c>
      <c r="U228">
        <v>1</v>
      </c>
      <c r="V228" t="s">
        <v>91</v>
      </c>
      <c r="W228" t="s">
        <v>79</v>
      </c>
      <c r="X228" t="s">
        <v>80</v>
      </c>
      <c r="Y228" t="s">
        <v>68</v>
      </c>
      <c r="Z228" t="s">
        <v>69</v>
      </c>
      <c r="AA228">
        <v>35</v>
      </c>
      <c r="AB228" t="s">
        <v>81</v>
      </c>
      <c r="AC228">
        <v>3</v>
      </c>
      <c r="AD228">
        <v>12.245599209511962</v>
      </c>
      <c r="AE228" t="s">
        <v>1155</v>
      </c>
      <c r="AF228">
        <v>56.5</v>
      </c>
      <c r="AG228">
        <v>3</v>
      </c>
      <c r="AH228">
        <v>11.344932789576145</v>
      </c>
      <c r="AI228" t="s">
        <v>1156</v>
      </c>
      <c r="AJ228" t="s">
        <v>72</v>
      </c>
      <c r="AK228">
        <v>1.4532973729139302</v>
      </c>
      <c r="AL228">
        <v>0.84267277117654427</v>
      </c>
      <c r="AM228">
        <v>6</v>
      </c>
      <c r="AN228">
        <v>1</v>
      </c>
      <c r="AO228">
        <v>0.91797209716665373</v>
      </c>
      <c r="AP228">
        <v>1.5831607272155361</v>
      </c>
      <c r="AQ228">
        <v>-0.34589487634541394</v>
      </c>
      <c r="AR228">
        <v>3.2524896221732744</v>
      </c>
      <c r="AS228">
        <v>2313</v>
      </c>
      <c r="AT228" t="s">
        <v>95</v>
      </c>
      <c r="AU228" t="s">
        <v>60</v>
      </c>
      <c r="AV228" t="s">
        <v>96</v>
      </c>
      <c r="AW228" t="s">
        <v>60</v>
      </c>
      <c r="AX228" t="s">
        <v>96</v>
      </c>
      <c r="AY228" t="s">
        <v>837</v>
      </c>
    </row>
    <row r="229" spans="1:51" x14ac:dyDescent="0.75">
      <c r="A229" t="s">
        <v>1157</v>
      </c>
      <c r="B229" t="s">
        <v>834</v>
      </c>
      <c r="C229" t="s">
        <v>835</v>
      </c>
      <c r="D229" t="s">
        <v>1158</v>
      </c>
      <c r="E229" t="s">
        <v>1159</v>
      </c>
      <c r="F229" t="s">
        <v>56</v>
      </c>
      <c r="G229" t="s">
        <v>69</v>
      </c>
      <c r="H229" t="s">
        <v>101</v>
      </c>
      <c r="Q229" t="s">
        <v>1160</v>
      </c>
      <c r="R229" t="s">
        <v>111</v>
      </c>
      <c r="T229" t="s">
        <v>66</v>
      </c>
      <c r="U229">
        <v>2</v>
      </c>
      <c r="V229" t="s">
        <v>91</v>
      </c>
      <c r="W229" t="s">
        <v>79</v>
      </c>
      <c r="X229" t="s">
        <v>393</v>
      </c>
      <c r="Y229" t="s">
        <v>68</v>
      </c>
      <c r="Z229" t="s">
        <v>69</v>
      </c>
      <c r="AA229">
        <v>9.57</v>
      </c>
      <c r="AB229" t="s">
        <v>69</v>
      </c>
      <c r="AC229">
        <v>5</v>
      </c>
      <c r="AD229">
        <v>2.1019038988498022</v>
      </c>
      <c r="AE229" t="s">
        <v>1161</v>
      </c>
      <c r="AF229">
        <v>17.93</v>
      </c>
      <c r="AG229">
        <v>5</v>
      </c>
      <c r="AH229">
        <v>2.1019038988498022</v>
      </c>
      <c r="AI229" t="s">
        <v>1161</v>
      </c>
      <c r="AJ229" t="s">
        <v>1162</v>
      </c>
      <c r="AK229">
        <v>3.5903638951640056</v>
      </c>
      <c r="AL229">
        <v>1.0445356449848626</v>
      </c>
      <c r="AM229">
        <v>10</v>
      </c>
      <c r="AN229">
        <v>1</v>
      </c>
      <c r="AO229">
        <v>1.0220252663143228</v>
      </c>
      <c r="AP229">
        <v>3.512989368757732</v>
      </c>
      <c r="AQ229">
        <v>1.5872311818979759</v>
      </c>
      <c r="AR229">
        <v>5.5934966084300353</v>
      </c>
      <c r="AS229">
        <v>2373</v>
      </c>
      <c r="AT229" t="s">
        <v>95</v>
      </c>
      <c r="AU229" t="s">
        <v>60</v>
      </c>
      <c r="AV229" t="s">
        <v>96</v>
      </c>
      <c r="AW229" t="s">
        <v>60</v>
      </c>
      <c r="AX229" t="s">
        <v>96</v>
      </c>
      <c r="AY229" t="s">
        <v>837</v>
      </c>
    </row>
    <row r="230" spans="1:51" x14ac:dyDescent="0.75">
      <c r="A230" t="s">
        <v>1163</v>
      </c>
      <c r="B230" t="s">
        <v>834</v>
      </c>
      <c r="C230" t="s">
        <v>835</v>
      </c>
      <c r="D230" t="s">
        <v>811</v>
      </c>
      <c r="E230" t="s">
        <v>267</v>
      </c>
      <c r="H230" t="s">
        <v>119</v>
      </c>
      <c r="I230" t="s">
        <v>80</v>
      </c>
      <c r="Q230" t="s">
        <v>307</v>
      </c>
      <c r="R230" t="s">
        <v>64</v>
      </c>
      <c r="T230" t="s">
        <v>66</v>
      </c>
      <c r="U230">
        <v>2</v>
      </c>
      <c r="V230" t="s">
        <v>91</v>
      </c>
      <c r="W230" t="s">
        <v>79</v>
      </c>
      <c r="X230" t="s">
        <v>139</v>
      </c>
      <c r="Y230" t="s">
        <v>68</v>
      </c>
      <c r="Z230" t="s">
        <v>69</v>
      </c>
      <c r="AA230">
        <v>8.5</v>
      </c>
      <c r="AB230" t="s">
        <v>65</v>
      </c>
      <c r="AC230">
        <v>8</v>
      </c>
      <c r="AD230">
        <v>2.998132752230962</v>
      </c>
      <c r="AE230" t="s">
        <v>1164</v>
      </c>
      <c r="AF230">
        <v>26.5</v>
      </c>
      <c r="AG230">
        <v>8</v>
      </c>
      <c r="AH230">
        <v>11.398561312727148</v>
      </c>
      <c r="AI230" t="s">
        <v>1165</v>
      </c>
      <c r="AJ230" t="s">
        <v>74</v>
      </c>
      <c r="AK230">
        <v>2.041622242694876</v>
      </c>
      <c r="AL230">
        <v>0.38025691818332674</v>
      </c>
      <c r="AM230">
        <v>16</v>
      </c>
      <c r="AN230">
        <v>1</v>
      </c>
      <c r="AO230">
        <v>0.61664975325003313</v>
      </c>
      <c r="AP230">
        <v>3.3108295785972026</v>
      </c>
      <c r="AQ230">
        <v>0.83301093524930003</v>
      </c>
      <c r="AR230">
        <v>3.250233550140452</v>
      </c>
      <c r="AS230">
        <v>2463</v>
      </c>
      <c r="AT230" t="s">
        <v>95</v>
      </c>
      <c r="AU230" t="s">
        <v>60</v>
      </c>
      <c r="AV230" t="s">
        <v>96</v>
      </c>
      <c r="AW230" t="s">
        <v>60</v>
      </c>
      <c r="AX230" t="s">
        <v>96</v>
      </c>
      <c r="AY230" t="s">
        <v>837</v>
      </c>
    </row>
    <row r="231" spans="1:51" x14ac:dyDescent="0.75">
      <c r="A231" t="s">
        <v>1166</v>
      </c>
      <c r="B231" t="s">
        <v>834</v>
      </c>
      <c r="C231" t="s">
        <v>835</v>
      </c>
      <c r="D231" t="s">
        <v>1167</v>
      </c>
      <c r="E231" t="s">
        <v>1168</v>
      </c>
      <c r="F231" t="s">
        <v>56</v>
      </c>
      <c r="G231" t="s">
        <v>69</v>
      </c>
      <c r="H231" t="s">
        <v>101</v>
      </c>
      <c r="Q231" t="s">
        <v>307</v>
      </c>
      <c r="R231" t="s">
        <v>103</v>
      </c>
      <c r="T231" t="s">
        <v>66</v>
      </c>
      <c r="U231">
        <v>2</v>
      </c>
      <c r="V231" t="s">
        <v>67</v>
      </c>
      <c r="W231" t="s">
        <v>79</v>
      </c>
      <c r="X231" t="s">
        <v>393</v>
      </c>
      <c r="Y231" t="s">
        <v>68</v>
      </c>
      <c r="Z231" t="s">
        <v>69</v>
      </c>
      <c r="AA231">
        <v>10.31</v>
      </c>
      <c r="AB231" t="s">
        <v>57</v>
      </c>
      <c r="AC231">
        <v>6</v>
      </c>
      <c r="AD231">
        <v>2.0575713839378689</v>
      </c>
      <c r="AE231" t="s">
        <v>1169</v>
      </c>
      <c r="AF231">
        <v>18.45</v>
      </c>
      <c r="AG231">
        <v>6</v>
      </c>
      <c r="AH231">
        <v>1.9350968967987083</v>
      </c>
      <c r="AI231" t="s">
        <v>1170</v>
      </c>
      <c r="AJ231" t="s">
        <v>74</v>
      </c>
      <c r="AK231">
        <v>3.7607020768153352</v>
      </c>
      <c r="AL231">
        <v>0.92262000460679894</v>
      </c>
      <c r="AM231">
        <v>12</v>
      </c>
      <c r="AN231">
        <v>1</v>
      </c>
      <c r="AO231">
        <v>0.96053110548633402</v>
      </c>
      <c r="AP231">
        <v>3.9152319537962539</v>
      </c>
      <c r="AQ231">
        <v>1.8780957040316772</v>
      </c>
      <c r="AR231">
        <v>5.6433084495989929</v>
      </c>
      <c r="AS231">
        <v>2484</v>
      </c>
      <c r="AT231" t="s">
        <v>95</v>
      </c>
      <c r="AU231" t="s">
        <v>60</v>
      </c>
      <c r="AV231" t="s">
        <v>96</v>
      </c>
      <c r="AW231" t="s">
        <v>60</v>
      </c>
      <c r="AX231" t="s">
        <v>96</v>
      </c>
      <c r="AY231" t="s">
        <v>837</v>
      </c>
    </row>
    <row r="232" spans="1:51" x14ac:dyDescent="0.75">
      <c r="A232" t="s">
        <v>1171</v>
      </c>
      <c r="B232" t="s">
        <v>834</v>
      </c>
      <c r="C232" t="s">
        <v>835</v>
      </c>
      <c r="D232" t="s">
        <v>266</v>
      </c>
      <c r="E232" t="s">
        <v>267</v>
      </c>
      <c r="H232" t="s">
        <v>119</v>
      </c>
      <c r="I232" t="s">
        <v>80</v>
      </c>
      <c r="Q232" t="s">
        <v>63</v>
      </c>
      <c r="R232" t="s">
        <v>64</v>
      </c>
      <c r="T232" t="s">
        <v>66</v>
      </c>
      <c r="U232">
        <v>2</v>
      </c>
      <c r="V232" t="s">
        <v>91</v>
      </c>
      <c r="W232" t="s">
        <v>79</v>
      </c>
      <c r="X232" t="s">
        <v>139</v>
      </c>
      <c r="Y232" t="s">
        <v>68</v>
      </c>
      <c r="Z232" t="s">
        <v>69</v>
      </c>
      <c r="AA232">
        <v>7.25</v>
      </c>
      <c r="AB232" t="s">
        <v>65</v>
      </c>
      <c r="AC232">
        <v>8</v>
      </c>
      <c r="AD232">
        <v>2.9981327522309602</v>
      </c>
      <c r="AE232" t="s">
        <v>1164</v>
      </c>
      <c r="AF232">
        <v>25.38</v>
      </c>
      <c r="AG232">
        <v>8</v>
      </c>
      <c r="AH232">
        <v>6.8730779131332396</v>
      </c>
      <c r="AI232" t="s">
        <v>969</v>
      </c>
      <c r="AJ232" t="s">
        <v>72</v>
      </c>
      <c r="AK232">
        <v>3.2322169561814098</v>
      </c>
      <c r="AL232">
        <v>0.57647582661958197</v>
      </c>
      <c r="AM232">
        <v>16</v>
      </c>
      <c r="AN232">
        <v>1</v>
      </c>
      <c r="AO232">
        <v>0.75926005203723301</v>
      </c>
      <c r="AP232">
        <v>4.2570617899740402</v>
      </c>
      <c r="AQ232">
        <v>1.74409459928842</v>
      </c>
      <c r="AR232">
        <v>4.7203393130743896</v>
      </c>
      <c r="AS232">
        <v>513</v>
      </c>
      <c r="AT232" t="s">
        <v>95</v>
      </c>
      <c r="AU232" t="s">
        <v>60</v>
      </c>
      <c r="AV232" t="s">
        <v>96</v>
      </c>
      <c r="AW232" t="s">
        <v>60</v>
      </c>
      <c r="AX232" t="s">
        <v>96</v>
      </c>
      <c r="AY232" t="s">
        <v>837</v>
      </c>
    </row>
    <row r="233" spans="1:51" x14ac:dyDescent="0.75">
      <c r="A233" t="s">
        <v>1172</v>
      </c>
      <c r="B233" t="s">
        <v>834</v>
      </c>
      <c r="C233" t="s">
        <v>835</v>
      </c>
      <c r="D233" t="s">
        <v>1173</v>
      </c>
      <c r="E233" t="s">
        <v>1174</v>
      </c>
      <c r="F233" t="s">
        <v>56</v>
      </c>
      <c r="G233" t="s">
        <v>57</v>
      </c>
      <c r="H233" t="s">
        <v>128</v>
      </c>
      <c r="I233" t="s">
        <v>824</v>
      </c>
      <c r="P233" t="s">
        <v>1175</v>
      </c>
      <c r="Q233" t="s">
        <v>63</v>
      </c>
      <c r="R233" t="s">
        <v>103</v>
      </c>
      <c r="T233" t="s">
        <v>66</v>
      </c>
      <c r="U233">
        <v>1</v>
      </c>
      <c r="V233" t="s">
        <v>67</v>
      </c>
      <c r="W233" t="s">
        <v>79</v>
      </c>
      <c r="X233" t="s">
        <v>139</v>
      </c>
      <c r="Y233" t="s">
        <v>68</v>
      </c>
      <c r="Z233" t="s">
        <v>69</v>
      </c>
      <c r="AA233">
        <v>64.599999999999994</v>
      </c>
      <c r="AB233" t="s">
        <v>69</v>
      </c>
      <c r="AC233">
        <v>5</v>
      </c>
      <c r="AD233">
        <v>3.98020099994962</v>
      </c>
      <c r="AE233" t="s">
        <v>1176</v>
      </c>
      <c r="AF233">
        <v>35.4</v>
      </c>
      <c r="AG233">
        <v>5</v>
      </c>
      <c r="AH233">
        <v>3.1304951684997002</v>
      </c>
      <c r="AI233" t="s">
        <v>414</v>
      </c>
      <c r="AJ233" t="s">
        <v>72</v>
      </c>
      <c r="AK233">
        <v>-7.3615106998498403</v>
      </c>
      <c r="AL233">
        <v>3.10959198920018</v>
      </c>
      <c r="AM233">
        <v>10</v>
      </c>
      <c r="AN233">
        <v>1</v>
      </c>
      <c r="AO233">
        <v>1.7634035242111099</v>
      </c>
      <c r="AP233">
        <v>-4.1746035996741604</v>
      </c>
      <c r="AQ233">
        <v>-10.8177180975146</v>
      </c>
      <c r="AR233">
        <v>-3.9053033021850498</v>
      </c>
      <c r="AS233">
        <v>1282</v>
      </c>
      <c r="AT233" t="s">
        <v>73</v>
      </c>
      <c r="AU233" t="s">
        <v>60</v>
      </c>
      <c r="AY233" t="s">
        <v>837</v>
      </c>
    </row>
    <row r="234" spans="1:51" x14ac:dyDescent="0.75">
      <c r="A234" t="s">
        <v>1177</v>
      </c>
      <c r="B234" t="s">
        <v>834</v>
      </c>
      <c r="C234" t="s">
        <v>835</v>
      </c>
      <c r="D234" t="s">
        <v>598</v>
      </c>
      <c r="E234" t="s">
        <v>267</v>
      </c>
      <c r="H234" t="s">
        <v>119</v>
      </c>
      <c r="I234" t="s">
        <v>80</v>
      </c>
      <c r="Q234" t="s">
        <v>63</v>
      </c>
      <c r="R234" t="s">
        <v>64</v>
      </c>
      <c r="T234" t="s">
        <v>66</v>
      </c>
      <c r="U234">
        <v>2</v>
      </c>
      <c r="V234" t="s">
        <v>91</v>
      </c>
      <c r="W234" t="s">
        <v>79</v>
      </c>
      <c r="X234" t="s">
        <v>139</v>
      </c>
      <c r="Y234" t="s">
        <v>68</v>
      </c>
      <c r="Z234" t="s">
        <v>69</v>
      </c>
      <c r="AA234">
        <v>7.25</v>
      </c>
      <c r="AB234" t="s">
        <v>65</v>
      </c>
      <c r="AC234">
        <v>8</v>
      </c>
      <c r="AD234">
        <v>2.9981327522309602</v>
      </c>
      <c r="AE234" t="s">
        <v>1164</v>
      </c>
      <c r="AF234">
        <v>25.38</v>
      </c>
      <c r="AG234">
        <v>8</v>
      </c>
      <c r="AH234">
        <v>6.8730779131332396</v>
      </c>
      <c r="AI234" t="s">
        <v>969</v>
      </c>
      <c r="AJ234" t="s">
        <v>72</v>
      </c>
      <c r="AK234">
        <v>3.2322169561814098</v>
      </c>
      <c r="AL234">
        <v>0.57647582661958197</v>
      </c>
      <c r="AM234">
        <v>16</v>
      </c>
      <c r="AN234">
        <v>1</v>
      </c>
      <c r="AO234">
        <v>0.75926005203723301</v>
      </c>
      <c r="AP234">
        <v>4.2570617899740402</v>
      </c>
      <c r="AQ234">
        <v>1.74409459928842</v>
      </c>
      <c r="AR234">
        <v>4.7203393130743896</v>
      </c>
      <c r="AS234">
        <v>1740</v>
      </c>
      <c r="AT234" t="s">
        <v>95</v>
      </c>
      <c r="AU234" t="s">
        <v>60</v>
      </c>
      <c r="AX234" t="s">
        <v>96</v>
      </c>
      <c r="AY234" t="s">
        <v>837</v>
      </c>
    </row>
    <row r="235" spans="1:51" x14ac:dyDescent="0.75">
      <c r="A235" t="s">
        <v>1178</v>
      </c>
      <c r="B235" t="s">
        <v>52</v>
      </c>
      <c r="C235" t="s">
        <v>53</v>
      </c>
      <c r="D235" t="s">
        <v>897</v>
      </c>
      <c r="E235" t="s">
        <v>898</v>
      </c>
      <c r="H235" t="s">
        <v>137</v>
      </c>
      <c r="I235" t="s">
        <v>189</v>
      </c>
      <c r="L235" t="s">
        <v>60</v>
      </c>
      <c r="P235" t="s">
        <v>268</v>
      </c>
      <c r="Q235" t="s">
        <v>63</v>
      </c>
      <c r="R235" t="s">
        <v>64</v>
      </c>
      <c r="T235" t="s">
        <v>66</v>
      </c>
      <c r="U235">
        <v>1</v>
      </c>
      <c r="V235" t="s">
        <v>91</v>
      </c>
      <c r="W235" t="s">
        <v>79</v>
      </c>
      <c r="X235" t="s">
        <v>139</v>
      </c>
      <c r="Y235" t="s">
        <v>68</v>
      </c>
      <c r="Z235" t="s">
        <v>69</v>
      </c>
      <c r="AA235">
        <v>89</v>
      </c>
      <c r="AB235" t="s">
        <v>57</v>
      </c>
      <c r="AC235">
        <v>6</v>
      </c>
      <c r="AD235">
        <v>11.5126017910809</v>
      </c>
      <c r="AE235" t="s">
        <v>698</v>
      </c>
      <c r="AF235">
        <v>169.5</v>
      </c>
      <c r="AG235">
        <v>6</v>
      </c>
      <c r="AH235">
        <v>19.3509689679871</v>
      </c>
      <c r="AI235" t="s">
        <v>1179</v>
      </c>
      <c r="AJ235" t="s">
        <v>72</v>
      </c>
      <c r="AK235">
        <v>4.6654000031026399</v>
      </c>
      <c r="AL235">
        <v>1.24024821620625</v>
      </c>
      <c r="AM235">
        <v>12</v>
      </c>
      <c r="AN235">
        <v>1</v>
      </c>
      <c r="AO235">
        <v>1.11366431935581</v>
      </c>
      <c r="AP235">
        <v>4.1892336155667396</v>
      </c>
      <c r="AQ235">
        <v>2.4826580462979302</v>
      </c>
      <c r="AR235">
        <v>6.8481419599073599</v>
      </c>
      <c r="AS235">
        <v>447</v>
      </c>
      <c r="AT235" t="s">
        <v>95</v>
      </c>
      <c r="AU235" t="s">
        <v>60</v>
      </c>
      <c r="AX235" t="s">
        <v>84</v>
      </c>
      <c r="AY235" t="s">
        <v>97</v>
      </c>
    </row>
    <row r="236" spans="1:51" x14ac:dyDescent="0.75">
      <c r="A236" t="s">
        <v>1180</v>
      </c>
      <c r="B236" t="s">
        <v>52</v>
      </c>
      <c r="C236" t="s">
        <v>53</v>
      </c>
      <c r="D236" t="s">
        <v>953</v>
      </c>
      <c r="E236" t="s">
        <v>954</v>
      </c>
      <c r="H236" t="s">
        <v>137</v>
      </c>
      <c r="I236" t="s">
        <v>80</v>
      </c>
      <c r="K236" t="s">
        <v>78</v>
      </c>
      <c r="P236" t="s">
        <v>1181</v>
      </c>
      <c r="Q236" t="s">
        <v>63</v>
      </c>
      <c r="R236" t="s">
        <v>64</v>
      </c>
      <c r="T236" t="s">
        <v>66</v>
      </c>
      <c r="U236">
        <v>1</v>
      </c>
      <c r="V236" t="s">
        <v>91</v>
      </c>
      <c r="W236" t="s">
        <v>79</v>
      </c>
      <c r="X236" t="s">
        <v>561</v>
      </c>
      <c r="Y236" t="s">
        <v>68</v>
      </c>
      <c r="Z236" t="s">
        <v>81</v>
      </c>
      <c r="AA236">
        <v>102.8</v>
      </c>
      <c r="AB236" t="s">
        <v>51</v>
      </c>
      <c r="AC236">
        <v>10</v>
      </c>
      <c r="AD236">
        <v>9.2338507676916599</v>
      </c>
      <c r="AE236" t="s">
        <v>1182</v>
      </c>
      <c r="AF236">
        <v>95</v>
      </c>
      <c r="AG236">
        <v>10</v>
      </c>
      <c r="AH236">
        <v>5.8185908947098097</v>
      </c>
      <c r="AI236" t="s">
        <v>861</v>
      </c>
      <c r="AJ236" t="s">
        <v>72</v>
      </c>
      <c r="AK236">
        <v>-0.96788208374725404</v>
      </c>
      <c r="AL236">
        <v>0.223419893200973</v>
      </c>
      <c r="AM236">
        <v>20</v>
      </c>
      <c r="AN236">
        <v>1</v>
      </c>
      <c r="AO236">
        <v>0.47267313568783698</v>
      </c>
      <c r="AP236">
        <v>-2.0476773708300202</v>
      </c>
      <c r="AQ236">
        <v>-1.89430440615503</v>
      </c>
      <c r="AR236">
        <v>-4.1459761339477798E-2</v>
      </c>
      <c r="AS236">
        <v>811</v>
      </c>
      <c r="AT236" t="s">
        <v>73</v>
      </c>
      <c r="AU236" t="s">
        <v>60</v>
      </c>
      <c r="AX236" t="s">
        <v>84</v>
      </c>
      <c r="AY236" t="s">
        <v>97</v>
      </c>
    </row>
    <row r="237" spans="1:51" x14ac:dyDescent="0.75">
      <c r="A237" t="s">
        <v>1183</v>
      </c>
      <c r="B237" t="s">
        <v>52</v>
      </c>
      <c r="C237" t="s">
        <v>53</v>
      </c>
      <c r="D237" t="s">
        <v>1184</v>
      </c>
      <c r="E237" t="s">
        <v>1185</v>
      </c>
      <c r="H237" t="s">
        <v>119</v>
      </c>
      <c r="I237" t="s">
        <v>80</v>
      </c>
      <c r="P237" t="s">
        <v>292</v>
      </c>
      <c r="Q237" t="s">
        <v>307</v>
      </c>
      <c r="T237" t="s">
        <v>66</v>
      </c>
      <c r="U237">
        <v>2</v>
      </c>
      <c r="V237" t="s">
        <v>91</v>
      </c>
      <c r="W237" t="s">
        <v>79</v>
      </c>
      <c r="X237" t="s">
        <v>139</v>
      </c>
      <c r="Y237" t="s">
        <v>68</v>
      </c>
      <c r="Z237" t="s">
        <v>69</v>
      </c>
      <c r="AA237">
        <v>276.5</v>
      </c>
      <c r="AB237" t="s">
        <v>57</v>
      </c>
      <c r="AC237">
        <v>6</v>
      </c>
      <c r="AD237">
        <v>71.598585181552295</v>
      </c>
      <c r="AE237" t="s">
        <v>1186</v>
      </c>
      <c r="AF237">
        <v>467.5</v>
      </c>
      <c r="AG237">
        <v>6</v>
      </c>
      <c r="AH237">
        <v>37.207749192876399</v>
      </c>
      <c r="AI237" t="s">
        <v>1187</v>
      </c>
      <c r="AK237">
        <v>3.0889724975394799</v>
      </c>
      <c r="AL237">
        <v>0.73090629543980401</v>
      </c>
      <c r="AM237">
        <v>12</v>
      </c>
      <c r="AN237">
        <v>1</v>
      </c>
      <c r="AO237">
        <v>0.85493057931027605</v>
      </c>
      <c r="AP237">
        <v>3.61312669390249</v>
      </c>
      <c r="AQ237">
        <v>1.4133393528093701</v>
      </c>
      <c r="AR237">
        <v>4.7646056422695899</v>
      </c>
      <c r="AS237">
        <v>925</v>
      </c>
      <c r="AT237" t="s">
        <v>95</v>
      </c>
      <c r="AU237" t="s">
        <v>60</v>
      </c>
      <c r="AX237" t="s">
        <v>96</v>
      </c>
      <c r="AY237" t="s">
        <v>96</v>
      </c>
    </row>
    <row r="238" spans="1:51" x14ac:dyDescent="0.75">
      <c r="A238" t="s">
        <v>1188</v>
      </c>
      <c r="B238" t="s">
        <v>52</v>
      </c>
      <c r="C238" t="s">
        <v>53</v>
      </c>
      <c r="D238" t="s">
        <v>1189</v>
      </c>
      <c r="E238" t="s">
        <v>1190</v>
      </c>
      <c r="H238" t="s">
        <v>137</v>
      </c>
      <c r="K238" t="s">
        <v>129</v>
      </c>
      <c r="P238" t="s">
        <v>1191</v>
      </c>
      <c r="Q238" t="s">
        <v>63</v>
      </c>
      <c r="R238" t="s">
        <v>64</v>
      </c>
      <c r="T238" t="s">
        <v>66</v>
      </c>
      <c r="U238">
        <v>1</v>
      </c>
      <c r="V238" t="s">
        <v>91</v>
      </c>
      <c r="W238" t="s">
        <v>79</v>
      </c>
      <c r="X238" t="s">
        <v>139</v>
      </c>
      <c r="Y238" t="s">
        <v>68</v>
      </c>
      <c r="Z238" t="s">
        <v>69</v>
      </c>
      <c r="AA238">
        <v>270</v>
      </c>
      <c r="AB238" t="s">
        <v>78</v>
      </c>
      <c r="AC238">
        <v>7</v>
      </c>
      <c r="AD238">
        <v>32.15</v>
      </c>
      <c r="AE238" t="s">
        <v>1192</v>
      </c>
      <c r="AF238">
        <v>368.57</v>
      </c>
      <c r="AG238">
        <v>7</v>
      </c>
      <c r="AH238">
        <v>42.2</v>
      </c>
      <c r="AI238" t="s">
        <v>1193</v>
      </c>
      <c r="AJ238" t="s">
        <v>72</v>
      </c>
      <c r="AK238">
        <v>2.4592964080040201</v>
      </c>
      <c r="AL238">
        <v>0.50171924365791098</v>
      </c>
      <c r="AM238">
        <v>14</v>
      </c>
      <c r="AN238">
        <v>1</v>
      </c>
      <c r="AO238">
        <v>0.70832142679570997</v>
      </c>
      <c r="AP238">
        <v>3.4720062318732001</v>
      </c>
      <c r="AQ238">
        <v>1.07101192200641</v>
      </c>
      <c r="AR238">
        <v>3.8475808940016401</v>
      </c>
      <c r="AS238">
        <v>1041</v>
      </c>
      <c r="AT238" t="s">
        <v>95</v>
      </c>
      <c r="AU238" t="s">
        <v>60</v>
      </c>
      <c r="AV238" t="s">
        <v>96</v>
      </c>
      <c r="AX238" t="s">
        <v>96</v>
      </c>
      <c r="AY238" t="s">
        <v>96</v>
      </c>
    </row>
    <row r="239" spans="1:51" x14ac:dyDescent="0.75">
      <c r="A239" t="s">
        <v>1194</v>
      </c>
      <c r="B239" t="s">
        <v>52</v>
      </c>
      <c r="C239" t="s">
        <v>53</v>
      </c>
      <c r="D239" t="s">
        <v>1173</v>
      </c>
      <c r="E239" t="s">
        <v>1174</v>
      </c>
      <c r="F239" t="s">
        <v>56</v>
      </c>
      <c r="G239" t="s">
        <v>57</v>
      </c>
      <c r="H239" t="s">
        <v>128</v>
      </c>
      <c r="I239" t="s">
        <v>824</v>
      </c>
      <c r="P239" t="s">
        <v>1175</v>
      </c>
      <c r="Q239" t="s">
        <v>63</v>
      </c>
      <c r="R239" t="s">
        <v>103</v>
      </c>
      <c r="T239" t="s">
        <v>66</v>
      </c>
      <c r="U239">
        <v>1</v>
      </c>
      <c r="V239" t="s">
        <v>67</v>
      </c>
      <c r="W239" t="s">
        <v>79</v>
      </c>
      <c r="X239" t="s">
        <v>80</v>
      </c>
      <c r="Y239" t="s">
        <v>68</v>
      </c>
      <c r="Z239" t="s">
        <v>81</v>
      </c>
      <c r="AA239">
        <v>76.8</v>
      </c>
      <c r="AB239" t="s">
        <v>69</v>
      </c>
      <c r="AC239">
        <v>5</v>
      </c>
      <c r="AD239">
        <v>5.2547597471245</v>
      </c>
      <c r="AE239" t="s">
        <v>258</v>
      </c>
      <c r="AF239">
        <v>78.400000000000006</v>
      </c>
      <c r="AG239">
        <v>5</v>
      </c>
      <c r="AH239">
        <v>5.2771204268994998</v>
      </c>
      <c r="AI239" t="s">
        <v>302</v>
      </c>
      <c r="AJ239" t="s">
        <v>72</v>
      </c>
      <c r="AK239">
        <v>0.27427620799163099</v>
      </c>
      <c r="AL239">
        <v>0.40376137191351302</v>
      </c>
      <c r="AM239">
        <v>10</v>
      </c>
      <c r="AN239">
        <v>1</v>
      </c>
      <c r="AO239">
        <v>0.63542219973299097</v>
      </c>
      <c r="AP239">
        <v>0.431644044081059</v>
      </c>
      <c r="AQ239">
        <v>-0.97112841846224796</v>
      </c>
      <c r="AR239">
        <v>1.5196808344455099</v>
      </c>
      <c r="AS239">
        <v>1283</v>
      </c>
      <c r="AT239" t="s">
        <v>95</v>
      </c>
      <c r="AU239" t="s">
        <v>60</v>
      </c>
      <c r="AY239" t="s">
        <v>97</v>
      </c>
    </row>
    <row r="240" spans="1:51" x14ac:dyDescent="0.75">
      <c r="A240" t="s">
        <v>1195</v>
      </c>
      <c r="B240" t="s">
        <v>52</v>
      </c>
      <c r="C240" t="s">
        <v>53</v>
      </c>
      <c r="D240" t="s">
        <v>1039</v>
      </c>
      <c r="E240" t="s">
        <v>325</v>
      </c>
      <c r="H240" t="s">
        <v>137</v>
      </c>
      <c r="I240" t="s">
        <v>824</v>
      </c>
      <c r="K240" t="s">
        <v>129</v>
      </c>
      <c r="P240" t="s">
        <v>89</v>
      </c>
      <c r="Q240" t="s">
        <v>63</v>
      </c>
      <c r="T240" t="s">
        <v>66</v>
      </c>
      <c r="U240">
        <v>1</v>
      </c>
      <c r="V240" t="s">
        <v>91</v>
      </c>
      <c r="W240" t="s">
        <v>79</v>
      </c>
      <c r="X240" t="s">
        <v>118</v>
      </c>
      <c r="Y240" t="s">
        <v>68</v>
      </c>
      <c r="Z240" t="s">
        <v>81</v>
      </c>
      <c r="AA240">
        <v>83</v>
      </c>
      <c r="AB240" t="s">
        <v>69</v>
      </c>
      <c r="AC240">
        <v>5</v>
      </c>
      <c r="AD240">
        <v>8.2063694774242197</v>
      </c>
      <c r="AE240" t="s">
        <v>462</v>
      </c>
      <c r="AF240">
        <v>29.2</v>
      </c>
      <c r="AG240">
        <v>5</v>
      </c>
      <c r="AH240">
        <v>5.5007272246494798</v>
      </c>
      <c r="AI240" t="s">
        <v>234</v>
      </c>
      <c r="AJ240" t="s">
        <v>72</v>
      </c>
      <c r="AK240">
        <v>-6.9520333827715204</v>
      </c>
      <c r="AL240">
        <v>2.8165384077584799</v>
      </c>
      <c r="AM240">
        <v>10</v>
      </c>
      <c r="AN240">
        <v>1</v>
      </c>
      <c r="AO240">
        <v>1.6782545717972801</v>
      </c>
      <c r="AP240">
        <v>-4.1424188556366701</v>
      </c>
      <c r="AQ240">
        <v>-10.241351900383799</v>
      </c>
      <c r="AR240">
        <v>-3.6627148651591499</v>
      </c>
      <c r="AS240">
        <v>1335</v>
      </c>
      <c r="AT240" t="s">
        <v>73</v>
      </c>
      <c r="AU240" t="s">
        <v>60</v>
      </c>
      <c r="AV240" t="s">
        <v>84</v>
      </c>
      <c r="AX240" t="s">
        <v>84</v>
      </c>
      <c r="AY240" t="s">
        <v>97</v>
      </c>
    </row>
    <row r="241" spans="1:51" x14ac:dyDescent="0.75">
      <c r="A241" t="s">
        <v>1196</v>
      </c>
      <c r="B241" t="s">
        <v>52</v>
      </c>
      <c r="C241" t="s">
        <v>53</v>
      </c>
      <c r="D241" t="s">
        <v>1057</v>
      </c>
      <c r="E241" t="s">
        <v>1058</v>
      </c>
      <c r="H241" t="s">
        <v>119</v>
      </c>
      <c r="I241" t="s">
        <v>80</v>
      </c>
      <c r="K241" t="s">
        <v>78</v>
      </c>
      <c r="Q241" t="s">
        <v>63</v>
      </c>
      <c r="R241" t="s">
        <v>64</v>
      </c>
      <c r="T241" t="s">
        <v>66</v>
      </c>
      <c r="U241">
        <v>1</v>
      </c>
      <c r="W241" t="s">
        <v>79</v>
      </c>
      <c r="X241" t="s">
        <v>80</v>
      </c>
      <c r="Y241" t="s">
        <v>68</v>
      </c>
      <c r="Z241" t="s">
        <v>81</v>
      </c>
      <c r="AA241">
        <v>102</v>
      </c>
      <c r="AB241" t="s">
        <v>69</v>
      </c>
      <c r="AC241">
        <v>5</v>
      </c>
      <c r="AD241">
        <v>0.69318107302493404</v>
      </c>
      <c r="AE241" t="s">
        <v>1197</v>
      </c>
      <c r="AF241">
        <v>98.8</v>
      </c>
      <c r="AG241">
        <v>5</v>
      </c>
      <c r="AH241">
        <v>3.4211840055746698</v>
      </c>
      <c r="AI241" t="s">
        <v>1001</v>
      </c>
      <c r="AJ241" t="s">
        <v>72</v>
      </c>
      <c r="AK241">
        <v>-1.1703001365383401</v>
      </c>
      <c r="AL241">
        <v>0.468480120479083</v>
      </c>
      <c r="AM241">
        <v>10</v>
      </c>
      <c r="AN241">
        <v>1</v>
      </c>
      <c r="AO241">
        <v>0.68445607636946504</v>
      </c>
      <c r="AP241">
        <v>-1.7098250376356099</v>
      </c>
      <c r="AQ241">
        <v>-2.5118093952220901</v>
      </c>
      <c r="AR241">
        <v>0.17120912214539999</v>
      </c>
      <c r="AS241">
        <v>1411</v>
      </c>
      <c r="AT241" t="s">
        <v>73</v>
      </c>
      <c r="AU241" t="s">
        <v>60</v>
      </c>
      <c r="AV241" t="s">
        <v>84</v>
      </c>
      <c r="AX241" t="s">
        <v>84</v>
      </c>
      <c r="AY241" t="s">
        <v>97</v>
      </c>
    </row>
    <row r="242" spans="1:51" x14ac:dyDescent="0.75">
      <c r="A242" t="s">
        <v>1198</v>
      </c>
      <c r="B242" t="s">
        <v>52</v>
      </c>
      <c r="C242" t="s">
        <v>53</v>
      </c>
      <c r="D242" t="s">
        <v>1199</v>
      </c>
      <c r="E242" t="s">
        <v>262</v>
      </c>
      <c r="H242" t="s">
        <v>119</v>
      </c>
      <c r="I242" t="s">
        <v>189</v>
      </c>
      <c r="K242" t="s">
        <v>78</v>
      </c>
      <c r="O242" t="s">
        <v>1200</v>
      </c>
      <c r="P242" t="s">
        <v>1201</v>
      </c>
      <c r="Q242" t="s">
        <v>63</v>
      </c>
      <c r="T242" t="s">
        <v>66</v>
      </c>
      <c r="U242">
        <v>1</v>
      </c>
      <c r="V242" t="s">
        <v>91</v>
      </c>
      <c r="W242" t="s">
        <v>294</v>
      </c>
      <c r="Y242" t="s">
        <v>68</v>
      </c>
      <c r="Z242" t="s">
        <v>69</v>
      </c>
      <c r="AA242">
        <v>24.33</v>
      </c>
      <c r="AB242" t="s">
        <v>57</v>
      </c>
      <c r="AC242">
        <v>6</v>
      </c>
      <c r="AD242">
        <v>6.6381172029424098</v>
      </c>
      <c r="AE242" t="s">
        <v>1202</v>
      </c>
      <c r="AF242">
        <v>45.33</v>
      </c>
      <c r="AG242">
        <v>6</v>
      </c>
      <c r="AH242">
        <v>4.9234743829941801</v>
      </c>
      <c r="AI242" t="s">
        <v>922</v>
      </c>
      <c r="AJ242" t="s">
        <v>72</v>
      </c>
      <c r="AK242">
        <v>3.3158081578043701</v>
      </c>
      <c r="AL242">
        <v>0.79144098914008498</v>
      </c>
      <c r="AM242">
        <v>12</v>
      </c>
      <c r="AN242">
        <v>1</v>
      </c>
      <c r="AO242">
        <v>0.88962969214167098</v>
      </c>
      <c r="AP242">
        <v>3.7271779338007298</v>
      </c>
      <c r="AQ242">
        <v>1.57216600162924</v>
      </c>
      <c r="AR242">
        <v>5.0594503139795002</v>
      </c>
      <c r="AS242">
        <v>1752</v>
      </c>
      <c r="AT242" t="s">
        <v>95</v>
      </c>
      <c r="AU242" t="s">
        <v>60</v>
      </c>
      <c r="AV242" t="s">
        <v>96</v>
      </c>
      <c r="AX242" t="s">
        <v>96</v>
      </c>
      <c r="AY242" t="s">
        <v>96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00079-61ED-46DF-B732-F763EE0AA533}">
  <dimension ref="A1:M242"/>
  <sheetViews>
    <sheetView topLeftCell="F1" workbookViewId="0">
      <selection activeCell="I7" sqref="I7"/>
    </sheetView>
  </sheetViews>
  <sheetFormatPr defaultRowHeight="16" x14ac:dyDescent="0.75"/>
  <cols>
    <col min="7" max="7" width="10.2265625" style="16" customWidth="1"/>
    <col min="8" max="8" width="7.04296875" style="16" customWidth="1"/>
    <col min="9" max="10" width="11.2265625" style="16" customWidth="1"/>
  </cols>
  <sheetData>
    <row r="1" spans="1:13" x14ac:dyDescent="0.75">
      <c r="A1" t="s">
        <v>26</v>
      </c>
      <c r="B1" t="s">
        <v>31</v>
      </c>
      <c r="C1" t="s">
        <v>29</v>
      </c>
      <c r="D1" t="s">
        <v>33</v>
      </c>
      <c r="E1" t="s">
        <v>27</v>
      </c>
      <c r="F1" t="s">
        <v>32</v>
      </c>
      <c r="G1" s="1" t="s">
        <v>1203</v>
      </c>
      <c r="H1" s="1" t="s">
        <v>1204</v>
      </c>
      <c r="I1" s="1" t="s">
        <v>1205</v>
      </c>
      <c r="J1" s="1" t="s">
        <v>1212</v>
      </c>
      <c r="K1" t="s">
        <v>36</v>
      </c>
      <c r="L1" s="1" t="s">
        <v>1211</v>
      </c>
    </row>
    <row r="2" spans="1:13" x14ac:dyDescent="0.75">
      <c r="A2">
        <v>51.4</v>
      </c>
      <c r="B2">
        <v>15.6</v>
      </c>
      <c r="C2">
        <v>9.773464073704881</v>
      </c>
      <c r="D2">
        <v>10.336846714545009</v>
      </c>
      <c r="E2" t="s">
        <v>57</v>
      </c>
      <c r="F2">
        <v>6</v>
      </c>
      <c r="G2" s="2">
        <f>B2-A2</f>
        <v>-35.799999999999997</v>
      </c>
      <c r="H2" s="2">
        <f>SQRT(((E2 - 1) * C2^2 + (F2 - 1) *D2^2) / (E2 + F2 - 2))</f>
        <v>10.05910035738783</v>
      </c>
      <c r="I2" s="2">
        <f t="shared" ref="I2:I29" si="0">G2/H2</f>
        <v>-3.5589663814922532</v>
      </c>
      <c r="J2" s="2">
        <f>I2*(1-(3/(4*SUM(D2:E2)-9)))</f>
        <v>-3.228896469159388</v>
      </c>
      <c r="K2">
        <v>-3.2840205977305641</v>
      </c>
      <c r="L2">
        <f>J2-K2</f>
        <v>5.5124128571176101E-2</v>
      </c>
      <c r="M2" s="2"/>
    </row>
    <row r="3" spans="1:13" x14ac:dyDescent="0.75">
      <c r="A3">
        <v>176.8</v>
      </c>
      <c r="B3">
        <v>70</v>
      </c>
      <c r="C3">
        <v>5.4112845055494914</v>
      </c>
      <c r="D3">
        <v>4.2932505167995965</v>
      </c>
      <c r="E3" t="s">
        <v>69</v>
      </c>
      <c r="F3">
        <v>5</v>
      </c>
      <c r="G3" s="2">
        <f t="shared" ref="G3:G29" si="1">B3-A3</f>
        <v>-106.80000000000001</v>
      </c>
      <c r="H3" s="2">
        <f t="shared" ref="H3:H30" si="2">SQRT(((E3 - 1) * C3^2 + (F3 - 1) *D3^2) / (E3 + F3 - 2))</f>
        <v>4.8843628038875249</v>
      </c>
      <c r="I3" s="2">
        <f t="shared" si="0"/>
        <v>-21.865697592119194</v>
      </c>
      <c r="J3" s="2">
        <f>I3*(1-(3/(4*SUM(D3:E3)-9)))</f>
        <v>-13.839626848833117</v>
      </c>
      <c r="K3">
        <v>-19.738238109566243</v>
      </c>
      <c r="L3">
        <f t="shared" ref="L3:L66" si="3">J3-K3</f>
        <v>5.8986112607331265</v>
      </c>
    </row>
    <row r="4" spans="1:13" x14ac:dyDescent="0.75">
      <c r="A4">
        <v>341.86</v>
      </c>
      <c r="B4">
        <v>469.76</v>
      </c>
      <c r="C4">
        <v>46.018509319620513</v>
      </c>
      <c r="D4">
        <v>72.351165851007536</v>
      </c>
      <c r="E4" t="s">
        <v>65</v>
      </c>
      <c r="F4">
        <v>8</v>
      </c>
      <c r="G4" s="2">
        <f t="shared" si="1"/>
        <v>127.89999999999998</v>
      </c>
      <c r="H4" s="2">
        <f t="shared" si="2"/>
        <v>60.631651800029324</v>
      </c>
      <c r="I4" s="2">
        <f t="shared" si="0"/>
        <v>2.1094592709073798</v>
      </c>
      <c r="J4" s="2">
        <f t="shared" ref="J2:J65" si="4">I4*(1-(3/(4*SUM(D4:E4)-9)))</f>
        <v>2.0868905385050813</v>
      </c>
      <c r="K4">
        <v>1.9940459642612371</v>
      </c>
      <c r="L4">
        <f t="shared" si="3"/>
        <v>9.284457424384418E-2</v>
      </c>
    </row>
    <row r="5" spans="1:13" x14ac:dyDescent="0.75">
      <c r="A5">
        <v>74.38</v>
      </c>
      <c r="B5">
        <v>38.299999999999997</v>
      </c>
      <c r="C5">
        <v>8.1812957408958145</v>
      </c>
      <c r="D5">
        <v>19.106019993708788</v>
      </c>
      <c r="E5" t="s">
        <v>57</v>
      </c>
      <c r="F5">
        <v>6</v>
      </c>
      <c r="G5" s="2">
        <f t="shared" si="1"/>
        <v>-36.08</v>
      </c>
      <c r="H5" s="2">
        <f>SQRT(((E5 - 1) * C5^2 + (F5 - 1) *D5^2) / (E5 + F5 - 2))</f>
        <v>14.696489376718509</v>
      </c>
      <c r="I5" s="2">
        <f>G5/H5</f>
        <v>-2.4550080686042102</v>
      </c>
      <c r="J5" s="2">
        <f t="shared" si="4"/>
        <v>-2.3457737385464403</v>
      </c>
      <c r="K5">
        <v>-2.2653479130394265</v>
      </c>
      <c r="L5">
        <f t="shared" si="3"/>
        <v>-8.0425825507013826E-2</v>
      </c>
    </row>
    <row r="6" spans="1:13" x14ac:dyDescent="0.75">
      <c r="A6">
        <v>84.34</v>
      </c>
      <c r="B6">
        <v>94.37</v>
      </c>
      <c r="C6">
        <v>6.1659711319466952</v>
      </c>
      <c r="D6">
        <v>6.4488138444213137</v>
      </c>
      <c r="E6" t="s">
        <v>65</v>
      </c>
      <c r="F6">
        <v>8</v>
      </c>
      <c r="G6" s="2">
        <f t="shared" si="1"/>
        <v>10.030000000000001</v>
      </c>
      <c r="H6" s="2">
        <f t="shared" si="2"/>
        <v>6.3089777301873564</v>
      </c>
      <c r="I6" s="2">
        <f>G6/H6</f>
        <v>1.5897979718660604</v>
      </c>
      <c r="J6" s="2">
        <f t="shared" si="4"/>
        <v>1.3058252778911323</v>
      </c>
      <c r="K6">
        <v>1.5028165148818409</v>
      </c>
      <c r="L6">
        <f t="shared" si="3"/>
        <v>-0.19699123699070853</v>
      </c>
    </row>
    <row r="7" spans="1:13" x14ac:dyDescent="0.75">
      <c r="A7">
        <v>75.34</v>
      </c>
      <c r="B7">
        <v>115.94</v>
      </c>
      <c r="C7">
        <v>23.93844188747461</v>
      </c>
      <c r="D7">
        <v>45.663289412831396</v>
      </c>
      <c r="E7" t="s">
        <v>51</v>
      </c>
      <c r="F7">
        <v>10</v>
      </c>
      <c r="G7" s="2">
        <f t="shared" si="1"/>
        <v>40.599999999999994</v>
      </c>
      <c r="H7" s="2">
        <f t="shared" si="2"/>
        <v>36.456720916725345</v>
      </c>
      <c r="I7" s="2">
        <f>G7/H7</f>
        <v>1.1136492525682371</v>
      </c>
      <c r="J7" s="2">
        <f t="shared" si="4"/>
        <v>1.0944100529885039</v>
      </c>
      <c r="K7">
        <v>1.0664822276796087</v>
      </c>
      <c r="L7">
        <f t="shared" si="3"/>
        <v>2.792782530889526E-2</v>
      </c>
    </row>
    <row r="8" spans="1:13" x14ac:dyDescent="0.75">
      <c r="A8">
        <v>103.33</v>
      </c>
      <c r="B8">
        <v>46.67</v>
      </c>
      <c r="C8">
        <v>27.899688170300397</v>
      </c>
      <c r="D8">
        <v>27.630244298594246</v>
      </c>
      <c r="E8" t="s">
        <v>57</v>
      </c>
      <c r="F8">
        <v>6</v>
      </c>
      <c r="G8" s="2">
        <f t="shared" si="1"/>
        <v>-56.66</v>
      </c>
      <c r="H8" s="2">
        <f t="shared" si="2"/>
        <v>27.765293083272145</v>
      </c>
      <c r="I8" s="2">
        <f>G8/H8</f>
        <v>-2.0406771803225139</v>
      </c>
      <c r="J8" s="2">
        <f t="shared" si="4"/>
        <v>-1.9803740615961642</v>
      </c>
      <c r="K8">
        <v>-1.8830259055967573</v>
      </c>
      <c r="L8">
        <f t="shared" si="3"/>
        <v>-9.7348155999406938E-2</v>
      </c>
    </row>
    <row r="9" spans="1:13" x14ac:dyDescent="0.75">
      <c r="A9">
        <v>111.57</v>
      </c>
      <c r="B9">
        <v>160.19999999999999</v>
      </c>
      <c r="C9">
        <v>11.493389404348919</v>
      </c>
      <c r="D9">
        <v>36.291383274821591</v>
      </c>
      <c r="E9" t="s">
        <v>69</v>
      </c>
      <c r="F9">
        <v>5</v>
      </c>
      <c r="G9" s="2">
        <f t="shared" si="1"/>
        <v>48.629999999999995</v>
      </c>
      <c r="H9" s="2">
        <f t="shared" si="2"/>
        <v>26.918046920235504</v>
      </c>
      <c r="I9" s="2">
        <f t="shared" si="0"/>
        <v>1.8065946665485095</v>
      </c>
      <c r="J9" s="2">
        <f t="shared" si="4"/>
        <v>1.7667917599223986</v>
      </c>
      <c r="K9">
        <v>1.6308190280953616</v>
      </c>
      <c r="L9">
        <f t="shared" si="3"/>
        <v>0.13597273182703695</v>
      </c>
    </row>
    <row r="10" spans="1:13" x14ac:dyDescent="0.75">
      <c r="A10">
        <v>126</v>
      </c>
      <c r="B10">
        <v>5</v>
      </c>
      <c r="C10">
        <v>3.0128723836233089</v>
      </c>
      <c r="D10">
        <v>4.8989794855663557E-2</v>
      </c>
      <c r="E10" t="s">
        <v>57</v>
      </c>
      <c r="F10">
        <v>6</v>
      </c>
      <c r="G10" s="2">
        <f t="shared" si="1"/>
        <v>-121</v>
      </c>
      <c r="H10" s="2">
        <f t="shared" si="2"/>
        <v>2.130704108974308</v>
      </c>
      <c r="I10" s="2">
        <f t="shared" si="0"/>
        <v>-56.788739220223192</v>
      </c>
      <c r="J10" s="2">
        <f t="shared" si="4"/>
        <v>-76.139651049536752</v>
      </c>
      <c r="K10">
        <v>-52.401559702333039</v>
      </c>
      <c r="L10">
        <f t="shared" si="3"/>
        <v>-23.738091347203714</v>
      </c>
    </row>
    <row r="11" spans="1:13" x14ac:dyDescent="0.75">
      <c r="A11">
        <v>44.4</v>
      </c>
      <c r="B11">
        <v>27.1</v>
      </c>
      <c r="C11">
        <v>9.6166522241370469</v>
      </c>
      <c r="D11">
        <v>9.05096679918781</v>
      </c>
      <c r="E11" t="s">
        <v>65</v>
      </c>
      <c r="F11">
        <v>8</v>
      </c>
      <c r="G11" s="2">
        <f t="shared" si="1"/>
        <v>-17.299999999999997</v>
      </c>
      <c r="H11" s="2">
        <f t="shared" si="2"/>
        <v>9.3380940239430021</v>
      </c>
      <c r="I11" s="2">
        <f t="shared" si="0"/>
        <v>-1.8526264519978657</v>
      </c>
      <c r="J11" s="2">
        <f t="shared" si="4"/>
        <v>-1.6483216994493997</v>
      </c>
      <c r="K11">
        <v>-1.7512650520627953</v>
      </c>
      <c r="L11">
        <f t="shared" si="3"/>
        <v>0.1029433526133956</v>
      </c>
    </row>
    <row r="12" spans="1:13" x14ac:dyDescent="0.75">
      <c r="A12">
        <v>51.4</v>
      </c>
      <c r="B12">
        <v>42.6</v>
      </c>
      <c r="C12">
        <v>12.006248373242993</v>
      </c>
      <c r="D12">
        <v>13.597793938724031</v>
      </c>
      <c r="E12" t="s">
        <v>118</v>
      </c>
      <c r="F12">
        <v>10</v>
      </c>
      <c r="G12" s="2">
        <f t="shared" si="1"/>
        <v>-8.7999999999999972</v>
      </c>
      <c r="H12" s="2">
        <f t="shared" si="2"/>
        <v>12.652891059908525</v>
      </c>
      <c r="I12" s="2">
        <f t="shared" si="0"/>
        <v>-0.69549322430217919</v>
      </c>
      <c r="J12" s="2">
        <f t="shared" si="4"/>
        <v>-0.6495265878754618</v>
      </c>
      <c r="K12">
        <v>-0.67252255834876573</v>
      </c>
      <c r="L12">
        <f t="shared" si="3"/>
        <v>2.2995970473303928E-2</v>
      </c>
    </row>
    <row r="13" spans="1:13" x14ac:dyDescent="0.75">
      <c r="A13">
        <v>145.44999999999999</v>
      </c>
      <c r="B13">
        <v>83.33</v>
      </c>
      <c r="C13">
        <v>23.970064664076318</v>
      </c>
      <c r="D13">
        <v>35.923474219512791</v>
      </c>
      <c r="E13" t="s">
        <v>51</v>
      </c>
      <c r="F13">
        <v>10</v>
      </c>
      <c r="G13" s="2">
        <f t="shared" si="1"/>
        <v>-62.11999999999999</v>
      </c>
      <c r="H13" s="2">
        <f t="shared" si="2"/>
        <v>30.537354174846257</v>
      </c>
      <c r="I13" s="2">
        <f t="shared" si="0"/>
        <v>-2.0342299350599431</v>
      </c>
      <c r="J13" s="2">
        <f t="shared" si="4"/>
        <v>-1.9889220930074925</v>
      </c>
      <c r="K13">
        <v>-1.9480730290548485</v>
      </c>
      <c r="L13">
        <f t="shared" si="3"/>
        <v>-4.0849063952643982E-2</v>
      </c>
    </row>
    <row r="14" spans="1:13" x14ac:dyDescent="0.75">
      <c r="A14">
        <v>61</v>
      </c>
      <c r="B14">
        <v>30.4</v>
      </c>
      <c r="C14">
        <v>5.9479408201494408</v>
      </c>
      <c r="D14">
        <v>4.5615786740995716</v>
      </c>
      <c r="E14" t="s">
        <v>69</v>
      </c>
      <c r="F14">
        <v>5</v>
      </c>
      <c r="G14" s="2">
        <f t="shared" si="1"/>
        <v>-30.6</v>
      </c>
      <c r="H14" s="2">
        <f t="shared" si="2"/>
        <v>5.3002830113117545</v>
      </c>
      <c r="I14" s="2">
        <f t="shared" si="0"/>
        <v>-5.7732766221528387</v>
      </c>
      <c r="J14" s="2">
        <f t="shared" si="4"/>
        <v>-3.9001162944814149</v>
      </c>
      <c r="K14">
        <v>-5.2115560530534504</v>
      </c>
      <c r="L14">
        <f t="shared" si="3"/>
        <v>1.3114397585720354</v>
      </c>
    </row>
    <row r="15" spans="1:13" x14ac:dyDescent="0.75">
      <c r="A15">
        <v>53.14</v>
      </c>
      <c r="B15">
        <v>9.9499999999999993</v>
      </c>
      <c r="C15">
        <v>7.0055406643598888</v>
      </c>
      <c r="D15">
        <v>3.5027703321799435</v>
      </c>
      <c r="E15" t="s">
        <v>57</v>
      </c>
      <c r="F15">
        <v>6</v>
      </c>
      <c r="G15" s="2">
        <f t="shared" si="1"/>
        <v>-43.19</v>
      </c>
      <c r="H15" s="2">
        <f t="shared" si="2"/>
        <v>5.5383661850766055</v>
      </c>
      <c r="I15" s="2">
        <f t="shared" si="0"/>
        <v>-7.7983287050209018</v>
      </c>
      <c r="J15" s="2">
        <f t="shared" si="4"/>
        <v>-3.1296784516354448</v>
      </c>
      <c r="K15">
        <v>-7.1958735627123547</v>
      </c>
      <c r="L15">
        <f t="shared" si="3"/>
        <v>4.0661951110769099</v>
      </c>
    </row>
    <row r="16" spans="1:13" x14ac:dyDescent="0.75">
      <c r="A16">
        <v>95.9</v>
      </c>
      <c r="B16">
        <v>125.4</v>
      </c>
      <c r="C16">
        <v>54.099999999999994</v>
      </c>
      <c r="D16">
        <v>29.019999999999982</v>
      </c>
      <c r="E16" t="s">
        <v>65</v>
      </c>
      <c r="F16">
        <v>8</v>
      </c>
      <c r="G16" s="2">
        <f t="shared" si="1"/>
        <v>29.5</v>
      </c>
      <c r="H16" s="2">
        <f t="shared" si="2"/>
        <v>43.410657677579586</v>
      </c>
      <c r="I16" s="2">
        <f t="shared" si="0"/>
        <v>0.67955662452992371</v>
      </c>
      <c r="J16" s="2">
        <f t="shared" si="4"/>
        <v>0.66051786964021719</v>
      </c>
      <c r="K16">
        <v>0.64237653853729237</v>
      </c>
      <c r="L16">
        <f t="shared" si="3"/>
        <v>1.8141331102924818E-2</v>
      </c>
    </row>
    <row r="17" spans="1:12" x14ac:dyDescent="0.75">
      <c r="A17">
        <v>75.5</v>
      </c>
      <c r="B17">
        <v>206.84</v>
      </c>
      <c r="C17">
        <v>11.708560970503591</v>
      </c>
      <c r="D17">
        <v>102.58463042775949</v>
      </c>
      <c r="E17" t="s">
        <v>57</v>
      </c>
      <c r="F17">
        <v>6</v>
      </c>
      <c r="G17" s="2">
        <f t="shared" si="1"/>
        <v>131.34</v>
      </c>
      <c r="H17" s="2">
        <f t="shared" si="2"/>
        <v>73.009235032288885</v>
      </c>
      <c r="I17" s="2">
        <f t="shared" si="0"/>
        <v>1.7989505018360197</v>
      </c>
      <c r="J17" s="2">
        <f t="shared" si="4"/>
        <v>1.7855033712628081</v>
      </c>
      <c r="K17">
        <v>1.6599736746740841</v>
      </c>
      <c r="L17">
        <f t="shared" si="3"/>
        <v>0.12552969658872404</v>
      </c>
    </row>
    <row r="18" spans="1:12" x14ac:dyDescent="0.75">
      <c r="A18">
        <v>119.4</v>
      </c>
      <c r="B18">
        <v>17.260000000000002</v>
      </c>
      <c r="C18">
        <v>26.601458606625311</v>
      </c>
      <c r="D18">
        <v>18.395667968301666</v>
      </c>
      <c r="E18" t="s">
        <v>57</v>
      </c>
      <c r="F18">
        <v>6</v>
      </c>
      <c r="G18" s="2">
        <f t="shared" si="1"/>
        <v>-102.14</v>
      </c>
      <c r="H18" s="2">
        <f t="shared" si="2"/>
        <v>22.869610840589306</v>
      </c>
      <c r="I18" s="2">
        <f t="shared" si="0"/>
        <v>-4.4661888088939623</v>
      </c>
      <c r="J18" s="2">
        <f t="shared" si="4"/>
        <v>-4.2587250103539001</v>
      </c>
      <c r="K18">
        <v>-4.1211561081427517</v>
      </c>
      <c r="L18">
        <f t="shared" si="3"/>
        <v>-0.13756890221114837</v>
      </c>
    </row>
    <row r="19" spans="1:12" x14ac:dyDescent="0.75">
      <c r="A19">
        <v>82.17</v>
      </c>
      <c r="B19">
        <v>80.86</v>
      </c>
      <c r="C19">
        <v>8.6251492740705658</v>
      </c>
      <c r="D19">
        <v>9.4982472067218904</v>
      </c>
      <c r="E19" t="s">
        <v>200</v>
      </c>
      <c r="F19">
        <v>7</v>
      </c>
      <c r="G19" s="2">
        <f t="shared" si="1"/>
        <v>-1.3100000000000023</v>
      </c>
      <c r="H19" s="2" t="e">
        <f t="shared" si="2"/>
        <v>#VALUE!</v>
      </c>
      <c r="I19" s="2" t="e">
        <f t="shared" si="0"/>
        <v>#VALUE!</v>
      </c>
      <c r="J19" s="2" t="e">
        <f t="shared" si="4"/>
        <v>#VALUE!</v>
      </c>
      <c r="K19">
        <v>-0.13514723731638117</v>
      </c>
      <c r="L19" t="e">
        <f t="shared" si="3"/>
        <v>#VALUE!</v>
      </c>
    </row>
    <row r="20" spans="1:12" x14ac:dyDescent="0.75">
      <c r="A20">
        <v>126.8</v>
      </c>
      <c r="B20">
        <v>177.8</v>
      </c>
      <c r="C20">
        <v>13.227244611029162</v>
      </c>
      <c r="D20">
        <v>21.800458710770283</v>
      </c>
      <c r="E20" t="s">
        <v>57</v>
      </c>
      <c r="F20">
        <v>6</v>
      </c>
      <c r="G20" s="2">
        <f t="shared" si="1"/>
        <v>51.000000000000014</v>
      </c>
      <c r="H20" s="2">
        <f>SQRT(((E20 - 1) * C20^2 + (F20 - 1) *D20^2) / (E20 + F20 - 2))</f>
        <v>18.030806970293924</v>
      </c>
      <c r="I20" s="2">
        <f>G20/H20</f>
        <v>2.8284923733043907</v>
      </c>
      <c r="J20" s="2">
        <f t="shared" si="4"/>
        <v>2.719984981669143</v>
      </c>
      <c r="K20">
        <v>2.6099789148782793</v>
      </c>
      <c r="L20">
        <f t="shared" si="3"/>
        <v>0.11000606679086378</v>
      </c>
    </row>
    <row r="21" spans="1:12" x14ac:dyDescent="0.75">
      <c r="A21">
        <v>88.25</v>
      </c>
      <c r="B21">
        <v>117.31</v>
      </c>
      <c r="C21">
        <v>13.787530598334136</v>
      </c>
      <c r="D21">
        <v>30.990321069650122</v>
      </c>
      <c r="E21" t="s">
        <v>51</v>
      </c>
      <c r="F21">
        <v>10</v>
      </c>
      <c r="G21" s="2">
        <f t="shared" si="1"/>
        <v>29.060000000000002</v>
      </c>
      <c r="H21" s="2">
        <f t="shared" si="2"/>
        <v>23.984328216566755</v>
      </c>
      <c r="I21" s="2">
        <f t="shared" si="0"/>
        <v>1.2116245132072248</v>
      </c>
      <c r="J21" s="2">
        <f t="shared" si="4"/>
        <v>1.1800062726627576</v>
      </c>
      <c r="K21">
        <v>1.1603078859672529</v>
      </c>
      <c r="L21">
        <f t="shared" si="3"/>
        <v>1.9698386695504722E-2</v>
      </c>
    </row>
    <row r="22" spans="1:12" x14ac:dyDescent="0.75">
      <c r="A22">
        <v>90.55</v>
      </c>
      <c r="B22">
        <v>17.28</v>
      </c>
      <c r="C22">
        <v>28.335996541501789</v>
      </c>
      <c r="D22">
        <v>10.953410427807405</v>
      </c>
      <c r="E22" t="s">
        <v>78</v>
      </c>
      <c r="F22">
        <v>7</v>
      </c>
      <c r="G22" s="2">
        <f t="shared" si="1"/>
        <v>-73.27</v>
      </c>
      <c r="H22" s="2">
        <f t="shared" si="2"/>
        <v>21.481455956242833</v>
      </c>
      <c r="I22" s="2">
        <f t="shared" si="0"/>
        <v>-3.4108488805064741</v>
      </c>
      <c r="J22" s="2">
        <f t="shared" si="4"/>
        <v>-3.1169254028537825</v>
      </c>
      <c r="K22">
        <v>-3.1923561188797382</v>
      </c>
      <c r="L22">
        <f t="shared" si="3"/>
        <v>7.5430716025955746E-2</v>
      </c>
    </row>
    <row r="23" spans="1:12" x14ac:dyDescent="0.75">
      <c r="A23">
        <v>160.94</v>
      </c>
      <c r="B23">
        <v>112.66</v>
      </c>
      <c r="C23">
        <v>34.330000000000013</v>
      </c>
      <c r="D23">
        <v>27.890000000000015</v>
      </c>
      <c r="E23" t="s">
        <v>57</v>
      </c>
      <c r="F23">
        <v>6</v>
      </c>
      <c r="G23" s="2">
        <f t="shared" si="1"/>
        <v>-48.28</v>
      </c>
      <c r="H23" s="2">
        <f t="shared" si="2"/>
        <v>31.276197019458756</v>
      </c>
      <c r="I23" s="2">
        <f t="shared" si="0"/>
        <v>-1.5436659377085451</v>
      </c>
      <c r="J23" s="2">
        <f t="shared" si="4"/>
        <v>-1.4985119028691765</v>
      </c>
      <c r="K23">
        <v>-1.4244109643217102</v>
      </c>
      <c r="L23">
        <f t="shared" si="3"/>
        <v>-7.4100938547466244E-2</v>
      </c>
    </row>
    <row r="24" spans="1:12" x14ac:dyDescent="0.75">
      <c r="A24">
        <v>55.75</v>
      </c>
      <c r="B24">
        <v>40.869999999999997</v>
      </c>
      <c r="C24">
        <v>8.3721442892487232</v>
      </c>
      <c r="D24">
        <v>6.9579307268756283</v>
      </c>
      <c r="E24" t="s">
        <v>65</v>
      </c>
      <c r="F24">
        <v>8</v>
      </c>
      <c r="G24" s="2">
        <f t="shared" si="1"/>
        <v>-14.880000000000003</v>
      </c>
      <c r="H24" s="2">
        <f t="shared" si="2"/>
        <v>7.6975840365662798</v>
      </c>
      <c r="I24" s="2">
        <f t="shared" si="0"/>
        <v>-1.9330740566539677</v>
      </c>
      <c r="J24" s="2">
        <f t="shared" si="4"/>
        <v>-1.6251244230253044</v>
      </c>
      <c r="K24">
        <v>-1.8273111855963338</v>
      </c>
      <c r="L24">
        <f t="shared" si="3"/>
        <v>0.20218676257102941</v>
      </c>
    </row>
    <row r="25" spans="1:12" x14ac:dyDescent="0.75">
      <c r="A25">
        <v>138.5</v>
      </c>
      <c r="B25">
        <v>141.30000000000001</v>
      </c>
      <c r="C25">
        <v>42.06744584592699</v>
      </c>
      <c r="D25">
        <v>26.457513110645905</v>
      </c>
      <c r="E25" t="s">
        <v>200</v>
      </c>
      <c r="F25">
        <v>7</v>
      </c>
      <c r="G25" s="2">
        <f t="shared" si="1"/>
        <v>2.8000000000000114</v>
      </c>
      <c r="H25" s="2" t="e">
        <f t="shared" si="2"/>
        <v>#VALUE!</v>
      </c>
      <c r="I25" s="2" t="e">
        <f t="shared" si="0"/>
        <v>#VALUE!</v>
      </c>
      <c r="J25" s="2" t="e">
        <f t="shared" si="4"/>
        <v>#VALUE!</v>
      </c>
      <c r="K25">
        <v>7.4576572643967803E-2</v>
      </c>
      <c r="L25" t="e">
        <f t="shared" si="3"/>
        <v>#VALUE!</v>
      </c>
    </row>
    <row r="26" spans="1:12" x14ac:dyDescent="0.75">
      <c r="A26">
        <v>86.33</v>
      </c>
      <c r="B26">
        <v>6.33</v>
      </c>
      <c r="C26">
        <v>3.5106267246746703</v>
      </c>
      <c r="D26">
        <v>1.5205262246998572</v>
      </c>
      <c r="E26" t="s">
        <v>69</v>
      </c>
      <c r="F26">
        <v>5</v>
      </c>
      <c r="G26" s="2">
        <f t="shared" si="1"/>
        <v>-80</v>
      </c>
      <c r="H26" s="2">
        <f t="shared" si="2"/>
        <v>2.705226423055934</v>
      </c>
      <c r="I26" s="2">
        <f t="shared" si="0"/>
        <v>-29.572385999996534</v>
      </c>
      <c r="J26" s="2">
        <f t="shared" si="4"/>
        <v>-59.97689161895687</v>
      </c>
      <c r="K26">
        <v>-26.695091426962463</v>
      </c>
      <c r="L26">
        <f t="shared" si="3"/>
        <v>-33.281800191994407</v>
      </c>
    </row>
    <row r="27" spans="1:12" x14ac:dyDescent="0.75">
      <c r="A27">
        <v>84.8</v>
      </c>
      <c r="B27">
        <v>164.5</v>
      </c>
      <c r="C27">
        <v>10.210000000000001</v>
      </c>
      <c r="D27">
        <v>44.75</v>
      </c>
      <c r="E27" t="s">
        <v>51</v>
      </c>
      <c r="F27">
        <v>10</v>
      </c>
      <c r="G27" s="2">
        <f t="shared" si="1"/>
        <v>79.7</v>
      </c>
      <c r="H27" s="2">
        <f>SQRT(((E27 - 1) * C27^2 + (F27 - 1) *D27^2) / (E27 + F27 - 2))</f>
        <v>32.456175067311918</v>
      </c>
      <c r="I27" s="2">
        <f>G27/H27</f>
        <v>2.4556189949896305</v>
      </c>
      <c r="J27" s="2">
        <f t="shared" si="4"/>
        <v>2.4122845421368724</v>
      </c>
      <c r="K27">
        <v>2.3516147566833978</v>
      </c>
      <c r="L27">
        <f t="shared" si="3"/>
        <v>6.0669785453474567E-2</v>
      </c>
    </row>
    <row r="28" spans="1:12" x14ac:dyDescent="0.75">
      <c r="A28">
        <v>31.86</v>
      </c>
      <c r="B28">
        <v>18.16</v>
      </c>
      <c r="C28">
        <v>6.7389910224009055</v>
      </c>
      <c r="D28">
        <v>9.1015108635874302</v>
      </c>
      <c r="E28" t="s">
        <v>118</v>
      </c>
      <c r="F28">
        <v>15</v>
      </c>
      <c r="G28" s="2">
        <f t="shared" si="1"/>
        <v>-13.7</v>
      </c>
      <c r="H28" s="2">
        <f t="shared" si="2"/>
        <v>8.007855518177136</v>
      </c>
      <c r="I28" s="2">
        <f t="shared" si="0"/>
        <v>-1.7108200777227049</v>
      </c>
      <c r="J28" s="2">
        <f t="shared" si="4"/>
        <v>-1.5235453168942308</v>
      </c>
      <c r="K28">
        <v>-1.6645117966990937</v>
      </c>
      <c r="L28">
        <f t="shared" si="3"/>
        <v>0.14096647980486288</v>
      </c>
    </row>
    <row r="29" spans="1:12" x14ac:dyDescent="0.75">
      <c r="A29">
        <v>84.85</v>
      </c>
      <c r="B29">
        <v>172.8</v>
      </c>
      <c r="C29">
        <v>3.8701937935974211</v>
      </c>
      <c r="D29">
        <v>3.3313060501851219</v>
      </c>
      <c r="E29" t="s">
        <v>57</v>
      </c>
      <c r="F29">
        <v>6</v>
      </c>
      <c r="G29" s="2">
        <f t="shared" si="1"/>
        <v>87.950000000000017</v>
      </c>
      <c r="H29" s="2">
        <f t="shared" si="2"/>
        <v>3.6108170820466654</v>
      </c>
      <c r="I29" s="2">
        <f t="shared" si="0"/>
        <v>24.357367875901549</v>
      </c>
      <c r="J29" s="2">
        <f t="shared" si="4"/>
        <v>7.4629595779005937</v>
      </c>
      <c r="K29">
        <v>22.475654231221505</v>
      </c>
      <c r="L29">
        <f t="shared" si="3"/>
        <v>-15.01269465332091</v>
      </c>
    </row>
    <row r="30" spans="1:12" x14ac:dyDescent="0.8">
      <c r="A30">
        <v>145.66999999999999</v>
      </c>
      <c r="B30">
        <v>267</v>
      </c>
      <c r="C30">
        <v>11.539982668964457</v>
      </c>
      <c r="D30">
        <v>14.396694064958108</v>
      </c>
      <c r="E30" t="s">
        <v>65</v>
      </c>
      <c r="F30">
        <v>8</v>
      </c>
      <c r="G30" s="3"/>
      <c r="H30" s="2"/>
      <c r="I30" s="3">
        <v>1.5</v>
      </c>
      <c r="J30" s="2">
        <f t="shared" si="4"/>
        <v>1.4073822067153643</v>
      </c>
      <c r="K30">
        <v>8.7908217957571573</v>
      </c>
      <c r="L30">
        <f t="shared" si="3"/>
        <v>-7.3834395890417932</v>
      </c>
    </row>
    <row r="31" spans="1:12" x14ac:dyDescent="0.8">
      <c r="A31">
        <v>88.3</v>
      </c>
      <c r="B31">
        <v>96.87</v>
      </c>
      <c r="C31">
        <v>23.108249609176376</v>
      </c>
      <c r="D31">
        <v>27.633733008770278</v>
      </c>
      <c r="E31" t="s">
        <v>65</v>
      </c>
      <c r="F31">
        <v>8</v>
      </c>
      <c r="G31" s="3">
        <v>3</v>
      </c>
      <c r="H31" s="2">
        <f>SQRT(((E31 - 1) * C31^2 + (F31 - 1) *D31^2) / (E31 + F31 - 2))</f>
        <v>25.471694093640494</v>
      </c>
      <c r="I31" s="2">
        <f>G31/H31</f>
        <v>0.11777779636372944</v>
      </c>
      <c r="J31" s="2">
        <f t="shared" si="4"/>
        <v>0.11429787687189279</v>
      </c>
      <c r="K31">
        <v>0.31804385724709122</v>
      </c>
      <c r="L31">
        <f t="shared" si="3"/>
        <v>-0.20374598037519842</v>
      </c>
    </row>
    <row r="32" spans="1:12" x14ac:dyDescent="0.75">
      <c r="A32">
        <v>82.88</v>
      </c>
      <c r="B32">
        <v>90.52</v>
      </c>
      <c r="C32">
        <v>18.149999999999999</v>
      </c>
      <c r="D32">
        <v>24.18</v>
      </c>
      <c r="E32" t="s">
        <v>219</v>
      </c>
      <c r="F32">
        <v>9</v>
      </c>
      <c r="G32" s="2" t="e">
        <f>#REF!-#REF!</f>
        <v>#REF!</v>
      </c>
      <c r="H32" s="2">
        <f>SQRT(((E32 - 1) * C32^2 + (F32 - 1) *D32^2) / (E32 + F32 - 2))</f>
        <v>21.378668106315697</v>
      </c>
      <c r="I32" s="2" t="e">
        <f>G32/H32</f>
        <v>#REF!</v>
      </c>
      <c r="J32" s="2" t="e">
        <f t="shared" si="4"/>
        <v>#REF!</v>
      </c>
      <c r="K32">
        <v>0.34030273830557317</v>
      </c>
      <c r="L32" t="e">
        <f t="shared" si="3"/>
        <v>#REF!</v>
      </c>
    </row>
    <row r="33" spans="1:12" x14ac:dyDescent="0.8">
      <c r="A33">
        <v>227.39</v>
      </c>
      <c r="B33">
        <v>215.98</v>
      </c>
      <c r="C33">
        <v>36.373066958946424</v>
      </c>
      <c r="D33">
        <v>42.712372914648512</v>
      </c>
      <c r="E33" t="s">
        <v>109</v>
      </c>
      <c r="F33">
        <v>12</v>
      </c>
      <c r="G33" s="3" t="s">
        <v>1206</v>
      </c>
      <c r="H33" s="3"/>
      <c r="I33" s="3">
        <f xml:space="preserve"> (_xlfn.NORM.S.INV(1 - 0.05 / 2) + _xlfn.NORM.S.INV(0.8)) * SQRT(1/E33 + 1/F33)</f>
        <v>1.1437423758834482</v>
      </c>
      <c r="J33" s="2">
        <f t="shared" si="4"/>
        <v>1.1225422652591392</v>
      </c>
      <c r="K33">
        <v>-0.27768883960127677</v>
      </c>
      <c r="L33">
        <f t="shared" si="3"/>
        <v>1.4002311048604161</v>
      </c>
    </row>
    <row r="34" spans="1:12" x14ac:dyDescent="0.8">
      <c r="A34">
        <v>71.260000000000005</v>
      </c>
      <c r="B34">
        <v>46.26</v>
      </c>
      <c r="C34">
        <v>18.671507705592497</v>
      </c>
      <c r="D34">
        <v>11.015843136138059</v>
      </c>
      <c r="E34" t="s">
        <v>109</v>
      </c>
      <c r="F34">
        <v>12</v>
      </c>
      <c r="G34" s="3" t="s">
        <v>1206</v>
      </c>
      <c r="H34" s="3"/>
      <c r="I34" s="3">
        <f xml:space="preserve"> (_xlfn.NORM.S.INV(1 - 0.05 / 2) + _xlfn.NORM.S.INV(0.8)) * SQRT(1/E34 + 1/F34)</f>
        <v>1.1437423758834482</v>
      </c>
      <c r="J34" s="2">
        <f t="shared" si="4"/>
        <v>1.0458845008803932</v>
      </c>
      <c r="K34">
        <v>-1.7164100427573847</v>
      </c>
      <c r="L34">
        <f t="shared" si="3"/>
        <v>2.7622945436377782</v>
      </c>
    </row>
    <row r="35" spans="1:12" x14ac:dyDescent="0.8">
      <c r="A35">
        <v>49.13</v>
      </c>
      <c r="B35">
        <v>28.13</v>
      </c>
      <c r="C35">
        <v>6.7731233563253523</v>
      </c>
      <c r="D35">
        <v>6.2439730941124338</v>
      </c>
      <c r="E35" t="s">
        <v>78</v>
      </c>
      <c r="F35">
        <v>7</v>
      </c>
      <c r="G35" s="3" t="s">
        <v>1206</v>
      </c>
      <c r="H35" s="3"/>
      <c r="I35" s="3">
        <f xml:space="preserve"> (_xlfn.NORM.S.INV(1 - 0.05 / 2) + _xlfn.NORM.S.INV(0.8)) * SQRT(1/E35 + 1/F35)</f>
        <v>1.4975102894327246</v>
      </c>
      <c r="J35" s="2">
        <f t="shared" si="4"/>
        <v>1.2163034083122264</v>
      </c>
      <c r="K35">
        <v>-3.0173486277048402</v>
      </c>
      <c r="L35">
        <f t="shared" si="3"/>
        <v>4.2336520360170669</v>
      </c>
    </row>
    <row r="36" spans="1:12" x14ac:dyDescent="0.8">
      <c r="A36">
        <v>98.58</v>
      </c>
      <c r="B36">
        <v>38.58</v>
      </c>
      <c r="C36">
        <v>4.1222809220139274</v>
      </c>
      <c r="D36">
        <v>3.325537550532244</v>
      </c>
      <c r="E36" t="s">
        <v>109</v>
      </c>
      <c r="F36">
        <v>12</v>
      </c>
      <c r="G36" s="4"/>
      <c r="H36" s="3"/>
      <c r="I36" s="3">
        <v>0.4</v>
      </c>
      <c r="J36" s="2">
        <f t="shared" si="4"/>
        <v>0.12106971081433558</v>
      </c>
      <c r="K36">
        <v>-15.467186422024113</v>
      </c>
      <c r="L36">
        <f t="shared" si="3"/>
        <v>15.588256132838449</v>
      </c>
    </row>
    <row r="37" spans="1:12" x14ac:dyDescent="0.8">
      <c r="A37">
        <v>128.78</v>
      </c>
      <c r="B37">
        <v>93.93</v>
      </c>
      <c r="C37">
        <v>47.47</v>
      </c>
      <c r="D37">
        <v>33.340000000000003</v>
      </c>
      <c r="E37" t="s">
        <v>65</v>
      </c>
      <c r="F37">
        <v>8</v>
      </c>
      <c r="G37" s="4"/>
      <c r="H37" s="3"/>
      <c r="I37" s="3">
        <v>0.4</v>
      </c>
      <c r="J37" s="2">
        <f t="shared" si="4"/>
        <v>0.39035059504663883</v>
      </c>
      <c r="K37">
        <v>-0.80314151130222744</v>
      </c>
      <c r="L37">
        <f t="shared" si="3"/>
        <v>1.1934921063488662</v>
      </c>
    </row>
    <row r="38" spans="1:12" x14ac:dyDescent="0.8">
      <c r="A38">
        <v>55.9</v>
      </c>
      <c r="B38">
        <v>97.67</v>
      </c>
      <c r="C38">
        <v>12.365455915573838</v>
      </c>
      <c r="D38">
        <v>19.230184606498192</v>
      </c>
      <c r="E38" t="s">
        <v>69</v>
      </c>
      <c r="F38">
        <v>5</v>
      </c>
      <c r="G38" s="4"/>
      <c r="H38" s="3"/>
      <c r="I38" s="3">
        <f xml:space="preserve"> (_xlfn.NORM.S.INV(1 - 0.05 / 2) + _xlfn.NORM.S.INV(0.8)) * SQRT(1/E38 + 1/F38)</f>
        <v>1.7718780696593193</v>
      </c>
      <c r="J38" s="2">
        <f t="shared" si="4"/>
        <v>1.6936157549059259</v>
      </c>
      <c r="K38">
        <v>2.3323643782986268</v>
      </c>
      <c r="L38">
        <f t="shared" si="3"/>
        <v>-0.63874862339270089</v>
      </c>
    </row>
    <row r="39" spans="1:12" x14ac:dyDescent="0.8">
      <c r="A39">
        <v>94.4</v>
      </c>
      <c r="B39">
        <v>49.2</v>
      </c>
      <c r="C39">
        <v>9.6374529830240938</v>
      </c>
      <c r="D39">
        <v>4.7628247920745519</v>
      </c>
      <c r="E39" t="s">
        <v>69</v>
      </c>
      <c r="F39">
        <v>5</v>
      </c>
      <c r="G39" s="4"/>
      <c r="H39" s="3"/>
      <c r="I39" s="3">
        <f xml:space="preserve"> (_xlfn.NORM.S.INV(1 - 0.05 / 2) + _xlfn.NORM.S.INV(0.8)) * SQRT(1/E39 + 1/F39)</f>
        <v>1.7718780696593193</v>
      </c>
      <c r="J39" s="2">
        <f t="shared" si="4"/>
        <v>1.2430276076470588</v>
      </c>
      <c r="K39">
        <v>-5.3676639342948533</v>
      </c>
      <c r="L39">
        <f t="shared" si="3"/>
        <v>6.6106915419419119</v>
      </c>
    </row>
    <row r="40" spans="1:12" x14ac:dyDescent="0.8">
      <c r="A40">
        <v>67.8</v>
      </c>
      <c r="B40">
        <v>51.4</v>
      </c>
      <c r="C40">
        <v>26.192937979539447</v>
      </c>
      <c r="D40">
        <v>16.033252945051419</v>
      </c>
      <c r="E40" t="s">
        <v>78</v>
      </c>
      <c r="F40">
        <v>7</v>
      </c>
      <c r="G40" s="4"/>
      <c r="H40" s="3"/>
      <c r="I40" s="3">
        <f xml:space="preserve"> (_xlfn.NORM.S.INV(1 - 0.05 / 2) + _xlfn.NORM.S.INV(0.8)) * SQRT(1/E40 + 1/F40)</f>
        <v>1.4975102894327246</v>
      </c>
      <c r="J40" s="2">
        <f t="shared" si="4"/>
        <v>1.4160249737708814</v>
      </c>
      <c r="K40">
        <v>-0.70683935706938816</v>
      </c>
      <c r="L40">
        <f t="shared" si="3"/>
        <v>2.1228643308402697</v>
      </c>
    </row>
    <row r="41" spans="1:12" x14ac:dyDescent="0.8">
      <c r="A41">
        <v>122.47</v>
      </c>
      <c r="B41">
        <v>178.29</v>
      </c>
      <c r="C41">
        <v>6.1482192543857757</v>
      </c>
      <c r="D41">
        <v>13.031285431606507</v>
      </c>
      <c r="E41" t="s">
        <v>57</v>
      </c>
      <c r="F41">
        <v>6</v>
      </c>
      <c r="G41" s="4"/>
      <c r="H41" s="3"/>
      <c r="I41" s="3">
        <v>0.4</v>
      </c>
      <c r="J41" s="2">
        <f t="shared" si="4"/>
        <v>0.37217400449110483</v>
      </c>
      <c r="K41">
        <v>5.0554224523536044</v>
      </c>
      <c r="L41">
        <f t="shared" si="3"/>
        <v>-4.6832484478624998</v>
      </c>
    </row>
    <row r="42" spans="1:12" x14ac:dyDescent="0.8">
      <c r="A42">
        <v>49.64</v>
      </c>
      <c r="B42">
        <v>151.06</v>
      </c>
      <c r="C42">
        <v>5.2174131521281684</v>
      </c>
      <c r="D42">
        <v>15.627744558956675</v>
      </c>
      <c r="E42" t="s">
        <v>57</v>
      </c>
      <c r="F42">
        <v>6</v>
      </c>
      <c r="G42" s="4">
        <v>3</v>
      </c>
      <c r="H42" s="3">
        <v>3</v>
      </c>
      <c r="I42" s="2">
        <f>G42/H42</f>
        <v>1</v>
      </c>
      <c r="J42" s="2">
        <f t="shared" si="4"/>
        <v>0.9439367378637934</v>
      </c>
      <c r="K42">
        <v>8.032993725393812</v>
      </c>
      <c r="L42">
        <f t="shared" si="3"/>
        <v>-7.0890569875300189</v>
      </c>
    </row>
    <row r="43" spans="1:12" x14ac:dyDescent="0.8">
      <c r="A43">
        <v>62.6</v>
      </c>
      <c r="B43">
        <v>87.4</v>
      </c>
      <c r="C43">
        <v>11.399999999999999</v>
      </c>
      <c r="D43">
        <v>18.299999999999997</v>
      </c>
      <c r="E43" t="s">
        <v>219</v>
      </c>
      <c r="F43">
        <v>9</v>
      </c>
      <c r="G43" s="4"/>
      <c r="H43" s="3"/>
      <c r="I43" s="3">
        <f xml:space="preserve"> (_xlfn.NORM.S.INV(1 - 0.05 / 2) + _xlfn.NORM.S.INV(0.8)) * SQRT(1/E43 + 1/F43)</f>
        <v>1.3206799371997817</v>
      </c>
      <c r="J43" s="2">
        <f t="shared" si="4"/>
        <v>1.2589659214427826</v>
      </c>
      <c r="K43">
        <v>1.5490412799006132</v>
      </c>
      <c r="L43">
        <f t="shared" si="3"/>
        <v>-0.29007535845783061</v>
      </c>
    </row>
    <row r="44" spans="1:12" x14ac:dyDescent="0.8">
      <c r="A44">
        <v>78.63</v>
      </c>
      <c r="B44">
        <v>72.5</v>
      </c>
      <c r="C44">
        <v>4.2866070498705611</v>
      </c>
      <c r="D44">
        <v>6.8585712797928977</v>
      </c>
      <c r="E44" t="s">
        <v>57</v>
      </c>
      <c r="F44">
        <v>6</v>
      </c>
      <c r="G44" s="4">
        <v>6000</v>
      </c>
      <c r="H44" s="3">
        <v>5000</v>
      </c>
      <c r="I44" s="2">
        <f>G44/H44</f>
        <v>1.2</v>
      </c>
      <c r="J44" s="2">
        <f t="shared" si="4"/>
        <v>1.0047117109924695</v>
      </c>
      <c r="K44">
        <v>-0.98905122746638507</v>
      </c>
      <c r="L44">
        <f t="shared" si="3"/>
        <v>1.9937629384588544</v>
      </c>
    </row>
    <row r="45" spans="1:12" x14ac:dyDescent="0.8">
      <c r="A45">
        <v>41</v>
      </c>
      <c r="B45">
        <v>68</v>
      </c>
      <c r="C45">
        <v>25.298221281347036</v>
      </c>
      <c r="D45">
        <v>28.460498941515414</v>
      </c>
      <c r="E45" t="s">
        <v>51</v>
      </c>
      <c r="F45">
        <v>10</v>
      </c>
      <c r="G45" s="4"/>
      <c r="H45" s="3"/>
      <c r="I45" s="3">
        <f xml:space="preserve"> (_xlfn.NORM.S.INV(1 - 0.05 / 2) + _xlfn.NORM.S.INV(0.8)) * SQRT(1/E45 + 1/F45)</f>
        <v>1.2529069984918344</v>
      </c>
      <c r="J45" s="2">
        <f t="shared" si="4"/>
        <v>1.2170557065738277</v>
      </c>
      <c r="K45">
        <v>0.96028457644916165</v>
      </c>
      <c r="L45">
        <f t="shared" si="3"/>
        <v>0.25677113012466601</v>
      </c>
    </row>
    <row r="46" spans="1:12" x14ac:dyDescent="0.8">
      <c r="A46">
        <v>52.38</v>
      </c>
      <c r="B46">
        <v>26.72</v>
      </c>
      <c r="C46">
        <v>15.272344286323564</v>
      </c>
      <c r="D46">
        <v>3.3988233257996794</v>
      </c>
      <c r="E46" t="s">
        <v>69</v>
      </c>
      <c r="F46">
        <v>5</v>
      </c>
      <c r="G46" s="4">
        <v>0.20899999999999999</v>
      </c>
      <c r="H46" s="3"/>
      <c r="I46" s="3">
        <v>0.5</v>
      </c>
      <c r="J46" s="2">
        <f t="shared" si="4"/>
        <v>0.17357905120966455</v>
      </c>
      <c r="K46">
        <v>-2.0936982695665614</v>
      </c>
      <c r="L46">
        <f t="shared" si="3"/>
        <v>2.267277320776226</v>
      </c>
    </row>
    <row r="47" spans="1:12" x14ac:dyDescent="0.8">
      <c r="A47">
        <v>72.75</v>
      </c>
      <c r="B47">
        <v>244.65</v>
      </c>
      <c r="C47">
        <v>12.199999999999998</v>
      </c>
      <c r="D47">
        <v>12.299999999999999</v>
      </c>
      <c r="E47" t="s">
        <v>57</v>
      </c>
      <c r="F47">
        <v>6</v>
      </c>
      <c r="G47" s="3" t="s">
        <v>1206</v>
      </c>
      <c r="H47" s="3"/>
      <c r="I47" s="3">
        <f xml:space="preserve"> (_xlfn.NORM.S.INV(1 - 0.05 / 2) + _xlfn.NORM.S.INV(0.8)) * SQRT(1/E47 + 1/F47)</f>
        <v>1.6174959798351987</v>
      </c>
      <c r="J47" s="2">
        <f t="shared" si="4"/>
        <v>1.4967873246236167</v>
      </c>
      <c r="K47">
        <v>12.948461123125345</v>
      </c>
      <c r="L47">
        <f t="shared" si="3"/>
        <v>-11.451673798501728</v>
      </c>
    </row>
    <row r="48" spans="1:12" x14ac:dyDescent="0.8">
      <c r="A48">
        <v>98.5</v>
      </c>
      <c r="B48">
        <v>125.12</v>
      </c>
      <c r="C48">
        <v>27.03976331257358</v>
      </c>
      <c r="D48">
        <v>32.244069222106567</v>
      </c>
      <c r="E48" t="s">
        <v>65</v>
      </c>
      <c r="F48">
        <v>8</v>
      </c>
      <c r="G48" s="3" t="s">
        <v>1206</v>
      </c>
      <c r="H48" s="3"/>
      <c r="I48" s="3">
        <f xml:space="preserve"> (_xlfn.NORM.S.INV(1 - 0.05 / 2) + _xlfn.NORM.S.INV(0.8)) * SQRT(1/E48 + 1/F48)</f>
        <v>1.4007926090564842</v>
      </c>
      <c r="J48" s="2">
        <f t="shared" si="4"/>
        <v>1.3657658693029451</v>
      </c>
      <c r="K48">
        <v>0.84566582661781131</v>
      </c>
      <c r="L48">
        <f t="shared" si="3"/>
        <v>0.52010004268513377</v>
      </c>
    </row>
    <row r="49" spans="1:12" x14ac:dyDescent="0.8">
      <c r="A49">
        <v>122.35</v>
      </c>
      <c r="B49">
        <v>51.84</v>
      </c>
      <c r="C49">
        <v>10.140887535122356</v>
      </c>
      <c r="D49">
        <v>10.822569011098974</v>
      </c>
      <c r="E49" t="s">
        <v>57</v>
      </c>
      <c r="F49">
        <v>5</v>
      </c>
      <c r="G49" s="3" t="s">
        <v>1206</v>
      </c>
      <c r="H49" s="3"/>
      <c r="I49" s="3">
        <f xml:space="preserve"> (_xlfn.NORM.S.INV(1 - 0.05 / 2) + _xlfn.NORM.S.INV(0.8)) * SQRT(1/E49 + 1/F49)</f>
        <v>1.6964440955308056</v>
      </c>
      <c r="J49" s="2">
        <f t="shared" si="4"/>
        <v>1.5480249845267642</v>
      </c>
      <c r="K49">
        <v>-6.1666349054856493</v>
      </c>
      <c r="L49">
        <f t="shared" si="3"/>
        <v>7.7146598900124133</v>
      </c>
    </row>
    <row r="50" spans="1:12" x14ac:dyDescent="0.8">
      <c r="A50">
        <v>66.400000000000006</v>
      </c>
      <c r="B50">
        <v>36.799999999999997</v>
      </c>
      <c r="C50">
        <v>9.2573214268491295</v>
      </c>
      <c r="D50">
        <v>7.379024325749306</v>
      </c>
      <c r="E50" t="s">
        <v>69</v>
      </c>
      <c r="F50">
        <v>5</v>
      </c>
      <c r="G50" s="3">
        <v>0.4</v>
      </c>
      <c r="H50" s="3">
        <v>1.6</v>
      </c>
      <c r="I50" s="3">
        <v>0.25</v>
      </c>
      <c r="J50" s="2">
        <f t="shared" si="4"/>
        <v>0.21344333968963816</v>
      </c>
      <c r="K50">
        <v>-3.1919663399030545</v>
      </c>
      <c r="L50">
        <f t="shared" si="3"/>
        <v>3.4054096795926925</v>
      </c>
    </row>
    <row r="51" spans="1:12" x14ac:dyDescent="0.8">
      <c r="A51">
        <v>232</v>
      </c>
      <c r="B51">
        <v>261</v>
      </c>
      <c r="C51">
        <v>2.8169132042006542</v>
      </c>
      <c r="D51">
        <v>4.9724641778498508</v>
      </c>
      <c r="E51" t="s">
        <v>57</v>
      </c>
      <c r="F51">
        <v>6</v>
      </c>
      <c r="G51" s="3" t="s">
        <v>1206</v>
      </c>
      <c r="H51" s="3"/>
      <c r="I51" s="3">
        <v>1.32</v>
      </c>
      <c r="J51" s="2">
        <f t="shared" si="4"/>
        <v>0.95635885164083867</v>
      </c>
      <c r="K51">
        <v>6.6219246221862669</v>
      </c>
      <c r="L51">
        <f t="shared" si="3"/>
        <v>-5.6655657705454283</v>
      </c>
    </row>
    <row r="52" spans="1:12" x14ac:dyDescent="0.8">
      <c r="A52">
        <v>47.78</v>
      </c>
      <c r="B52">
        <v>60.13</v>
      </c>
      <c r="C52">
        <v>6.1482192543857712</v>
      </c>
      <c r="D52">
        <v>13.153759918745665</v>
      </c>
      <c r="E52" t="s">
        <v>57</v>
      </c>
      <c r="F52">
        <v>6</v>
      </c>
      <c r="G52" s="3">
        <v>30</v>
      </c>
      <c r="H52" s="2">
        <f>SQRT(((E52 - 1) * C52^2 + (F52 - 1) *D52^2) / (E52 + F52 - 2))</f>
        <v>10.266985925771982</v>
      </c>
      <c r="I52" s="2">
        <f>G52/H52</f>
        <v>2.9219870580220242</v>
      </c>
      <c r="J52" s="2">
        <f t="shared" si="4"/>
        <v>2.7210022317008828</v>
      </c>
      <c r="K52">
        <v>1.1099565482845211</v>
      </c>
      <c r="L52">
        <f t="shared" si="3"/>
        <v>1.6110456834163618</v>
      </c>
    </row>
    <row r="53" spans="1:12" x14ac:dyDescent="0.8">
      <c r="A53">
        <v>87.16</v>
      </c>
      <c r="B53">
        <v>133.83000000000001</v>
      </c>
      <c r="C53">
        <v>47.299646933143158</v>
      </c>
      <c r="D53">
        <v>85.560676715416406</v>
      </c>
      <c r="E53" t="s">
        <v>57</v>
      </c>
      <c r="F53">
        <v>6</v>
      </c>
      <c r="G53" s="3" t="s">
        <v>1206</v>
      </c>
      <c r="H53" s="3"/>
      <c r="I53" s="3">
        <f xml:space="preserve"> (_xlfn.NORM.S.INV(1 - 0.05 / 2) + _xlfn.NORM.S.INV(0.8)) * SQRT(1/E53 + 1/F53)</f>
        <v>1.6174959798351987</v>
      </c>
      <c r="J53" s="2">
        <f t="shared" si="4"/>
        <v>1.6029345570655777</v>
      </c>
      <c r="K53">
        <v>0.62295096421810425</v>
      </c>
      <c r="L53">
        <f t="shared" si="3"/>
        <v>0.97998359284747349</v>
      </c>
    </row>
    <row r="54" spans="1:12" x14ac:dyDescent="0.8">
      <c r="A54">
        <v>87.69</v>
      </c>
      <c r="B54">
        <v>26.66</v>
      </c>
      <c r="C54">
        <v>2.8621670111997308</v>
      </c>
      <c r="D54">
        <v>8.0274840392242446</v>
      </c>
      <c r="E54" t="s">
        <v>69</v>
      </c>
      <c r="F54">
        <v>5</v>
      </c>
      <c r="G54" s="3" t="s">
        <v>1206</v>
      </c>
      <c r="H54" s="3"/>
      <c r="I54" s="3">
        <v>1</v>
      </c>
      <c r="J54" s="2">
        <f t="shared" si="4"/>
        <v>0.87018570801613082</v>
      </c>
      <c r="K54">
        <v>-9.1419305504639787</v>
      </c>
      <c r="L54">
        <f t="shared" si="3"/>
        <v>10.012116258480109</v>
      </c>
    </row>
    <row r="55" spans="1:12" x14ac:dyDescent="0.8">
      <c r="A55">
        <v>105.17</v>
      </c>
      <c r="B55">
        <v>164.5</v>
      </c>
      <c r="C55">
        <v>25.523683119800712</v>
      </c>
      <c r="D55">
        <v>68.61020769535682</v>
      </c>
      <c r="E55" t="s">
        <v>57</v>
      </c>
      <c r="F55">
        <v>6</v>
      </c>
      <c r="G55" s="3" t="s">
        <v>1206</v>
      </c>
      <c r="H55" s="3"/>
      <c r="I55" s="3">
        <f xml:space="preserve"> (_xlfn.NORM.S.INV(1 - 0.05 / 2) + _xlfn.NORM.S.INV(0.8)) * SQRT(1/E55 + 1/F55)</f>
        <v>1.6174959798351987</v>
      </c>
      <c r="J55" s="2">
        <f t="shared" si="4"/>
        <v>1.5992151150367409</v>
      </c>
      <c r="K55">
        <v>1.0576373727970318</v>
      </c>
      <c r="L55">
        <f t="shared" si="3"/>
        <v>0.541577742239709</v>
      </c>
    </row>
    <row r="56" spans="1:12" x14ac:dyDescent="0.8">
      <c r="A56">
        <v>110.5</v>
      </c>
      <c r="B56">
        <v>51.17</v>
      </c>
      <c r="C56">
        <v>2.424994845355346</v>
      </c>
      <c r="D56">
        <v>3.4292856398964489</v>
      </c>
      <c r="E56" t="s">
        <v>57</v>
      </c>
      <c r="F56">
        <v>6</v>
      </c>
      <c r="G56" s="3" t="s">
        <v>1206</v>
      </c>
      <c r="H56" s="3"/>
      <c r="I56" s="3">
        <f xml:space="preserve"> (_xlfn.NORM.S.INV(1 - 0.05 / 2) + _xlfn.NORM.S.INV(0.8)) * SQRT(1/E56 + 1/F56)</f>
        <v>1.6174959798351987</v>
      </c>
      <c r="J56" s="2">
        <f t="shared" si="4"/>
        <v>0.58880374121612988</v>
      </c>
      <c r="K56">
        <v>-18.433790894456028</v>
      </c>
      <c r="L56">
        <f t="shared" si="3"/>
        <v>19.022594635672156</v>
      </c>
    </row>
    <row r="57" spans="1:12" x14ac:dyDescent="0.8">
      <c r="A57">
        <v>73.5</v>
      </c>
      <c r="B57">
        <v>68.599999999999994</v>
      </c>
      <c r="C57">
        <v>8.8543774484714621</v>
      </c>
      <c r="D57">
        <v>9.4868329805051381</v>
      </c>
      <c r="E57" t="s">
        <v>51</v>
      </c>
      <c r="F57">
        <v>10</v>
      </c>
      <c r="G57" s="2" t="e">
        <f>#REF!-#REF!</f>
        <v>#REF!</v>
      </c>
      <c r="H57" s="3"/>
      <c r="I57" s="3">
        <v>1.2</v>
      </c>
      <c r="J57" s="2">
        <f t="shared" si="4"/>
        <v>1.0756362068290846</v>
      </c>
      <c r="K57">
        <v>-0.51138175224067195</v>
      </c>
      <c r="L57">
        <f t="shared" si="3"/>
        <v>1.5870179590697564</v>
      </c>
    </row>
    <row r="58" spans="1:12" x14ac:dyDescent="0.8">
      <c r="A58">
        <v>78.599999999999994</v>
      </c>
      <c r="B58">
        <v>86.5</v>
      </c>
      <c r="C58">
        <v>7.5934182026278521</v>
      </c>
      <c r="D58">
        <v>6.1237243569579451</v>
      </c>
      <c r="E58" t="s">
        <v>177</v>
      </c>
      <c r="F58">
        <v>6</v>
      </c>
      <c r="G58" s="3"/>
      <c r="H58" s="3"/>
      <c r="I58" s="3">
        <v>0.4</v>
      </c>
      <c r="J58" s="2">
        <f t="shared" si="4"/>
        <v>0.32255515045588029</v>
      </c>
      <c r="K58">
        <v>1.0568098664344714</v>
      </c>
      <c r="L58">
        <f t="shared" si="3"/>
        <v>-0.73425471597859104</v>
      </c>
    </row>
    <row r="59" spans="1:12" x14ac:dyDescent="0.8">
      <c r="A59">
        <v>94.56</v>
      </c>
      <c r="B59">
        <v>14.85</v>
      </c>
      <c r="C59">
        <v>19.522433249981926</v>
      </c>
      <c r="D59">
        <v>6.2217039466692743</v>
      </c>
      <c r="E59" t="s">
        <v>57</v>
      </c>
      <c r="F59">
        <v>6</v>
      </c>
      <c r="G59" s="3"/>
      <c r="H59" s="3"/>
      <c r="I59" s="3">
        <v>1.204</v>
      </c>
      <c r="J59" s="2">
        <f t="shared" si="4"/>
        <v>0.97664166410055109</v>
      </c>
      <c r="K59">
        <v>-5.0765711008204395</v>
      </c>
      <c r="L59">
        <f t="shared" si="3"/>
        <v>6.0532127649209908</v>
      </c>
    </row>
    <row r="60" spans="1:12" x14ac:dyDescent="0.8">
      <c r="A60">
        <v>45.83</v>
      </c>
      <c r="B60">
        <v>24.28</v>
      </c>
      <c r="C60">
        <v>6.8589211979727533</v>
      </c>
      <c r="D60">
        <v>20.134167477201537</v>
      </c>
      <c r="E60" t="s">
        <v>109</v>
      </c>
      <c r="F60">
        <v>7</v>
      </c>
      <c r="G60" s="3" t="s">
        <v>659</v>
      </c>
      <c r="H60" s="3" t="s">
        <v>78</v>
      </c>
      <c r="I60" s="2">
        <f>G60/H60</f>
        <v>2.2857142857142856</v>
      </c>
      <c r="J60" s="2">
        <f t="shared" si="4"/>
        <v>2.1898593505337098</v>
      </c>
      <c r="K60">
        <v>-1.5625339155574578</v>
      </c>
      <c r="L60">
        <f t="shared" si="3"/>
        <v>3.7523932660911674</v>
      </c>
    </row>
    <row r="61" spans="1:12" x14ac:dyDescent="0.8">
      <c r="A61">
        <v>47.68</v>
      </c>
      <c r="B61">
        <v>25.67</v>
      </c>
      <c r="C61">
        <v>41.009486707346134</v>
      </c>
      <c r="D61">
        <v>55.074354285819815</v>
      </c>
      <c r="E61" t="s">
        <v>69</v>
      </c>
      <c r="F61">
        <v>5</v>
      </c>
      <c r="G61" s="3"/>
      <c r="H61" s="3"/>
      <c r="I61" s="3">
        <f xml:space="preserve"> (_xlfn.NORM.S.INV(1 - 0.05 / 2) + _xlfn.NORM.S.INV(0.8)) * SQRT(1/E61 + 1/F61)</f>
        <v>1.7718780696593193</v>
      </c>
      <c r="J61" s="2">
        <f t="shared" si="4"/>
        <v>1.7467209509361241</v>
      </c>
      <c r="K61">
        <v>-0.40920503163445282</v>
      </c>
      <c r="L61">
        <f t="shared" si="3"/>
        <v>2.1559259825705768</v>
      </c>
    </row>
    <row r="62" spans="1:12" x14ac:dyDescent="0.8">
      <c r="A62">
        <v>159.18</v>
      </c>
      <c r="B62">
        <v>312.24</v>
      </c>
      <c r="C62">
        <v>45.157324987204461</v>
      </c>
      <c r="D62">
        <v>116.15045845798457</v>
      </c>
      <c r="E62" t="s">
        <v>51</v>
      </c>
      <c r="F62">
        <v>10</v>
      </c>
      <c r="G62" s="3" t="s">
        <v>51</v>
      </c>
      <c r="H62" s="2">
        <f>SQRT(((E62 - 1) * C62^2 + (F62 - 1) *D62^2) / (E62 + F62 - 2))</f>
        <v>88.119557987997197</v>
      </c>
      <c r="I62" s="2">
        <f>G62/H62</f>
        <v>0.11348218520753479</v>
      </c>
      <c r="J62" s="2">
        <f t="shared" si="4"/>
        <v>0.11273493941012612</v>
      </c>
      <c r="K62">
        <v>1.6633919355362172</v>
      </c>
      <c r="L62">
        <f t="shared" si="3"/>
        <v>-1.5506569961260912</v>
      </c>
    </row>
    <row r="63" spans="1:12" x14ac:dyDescent="0.8">
      <c r="A63">
        <v>159.18</v>
      </c>
      <c r="B63">
        <v>312.24</v>
      </c>
      <c r="C63">
        <v>45.157324987204461</v>
      </c>
      <c r="D63">
        <v>116.15045845798457</v>
      </c>
      <c r="E63" t="s">
        <v>51</v>
      </c>
      <c r="F63">
        <v>10</v>
      </c>
      <c r="G63" s="3" t="e">
        <f>#REF!-#REF!</f>
        <v>#REF!</v>
      </c>
      <c r="H63" s="2">
        <f>SQRT(((E63 - 1) * C63^2 + (F63 - 1) *D63^2) / (E63 + F63 - 2))</f>
        <v>88.119557987997197</v>
      </c>
      <c r="I63" s="2" t="e">
        <f>G63/H63</f>
        <v>#REF!</v>
      </c>
      <c r="J63" s="2" t="e">
        <f t="shared" si="4"/>
        <v>#REF!</v>
      </c>
      <c r="K63">
        <v>1.6633919355362172</v>
      </c>
      <c r="L63" t="e">
        <f t="shared" si="3"/>
        <v>#REF!</v>
      </c>
    </row>
    <row r="64" spans="1:12" x14ac:dyDescent="0.8">
      <c r="A64">
        <v>56.72</v>
      </c>
      <c r="B64">
        <v>28.24</v>
      </c>
      <c r="C64">
        <v>7.2973419818451708</v>
      </c>
      <c r="D64">
        <v>7.0427835406180144</v>
      </c>
      <c r="E64" t="s">
        <v>65</v>
      </c>
      <c r="F64">
        <v>8</v>
      </c>
      <c r="G64" s="3"/>
      <c r="H64" s="3"/>
      <c r="I64" s="3">
        <f xml:space="preserve"> (_xlfn.NORM.S.INV(1 - 0.05 / 2) + _xlfn.NORM.S.INV(0.8)) * SQRT(1/E64 + 1/F64)</f>
        <v>1.4007926090564842</v>
      </c>
      <c r="J64" s="2">
        <f t="shared" si="4"/>
        <v>1.1815892071317455</v>
      </c>
      <c r="K64">
        <v>-3.7541587428693122</v>
      </c>
      <c r="L64">
        <f t="shared" si="3"/>
        <v>4.9357479500010575</v>
      </c>
    </row>
    <row r="65" spans="1:12" x14ac:dyDescent="0.8">
      <c r="A65">
        <v>42</v>
      </c>
      <c r="B65">
        <v>31.4</v>
      </c>
      <c r="C65">
        <v>8.2819079927272803</v>
      </c>
      <c r="D65">
        <v>3.439476704383968</v>
      </c>
      <c r="E65" t="s">
        <v>455</v>
      </c>
      <c r="F65">
        <v>7</v>
      </c>
      <c r="G65" s="3"/>
      <c r="H65" s="3"/>
      <c r="I65" s="3">
        <f xml:space="preserve"> (_xlfn.NORM.S.INV(1 - 0.05 / 2) + _xlfn.NORM.S.INV(0.8)) * SQRT(1/E65 + 1/F65)</f>
        <v>1.2386958734351363</v>
      </c>
      <c r="J65" s="2">
        <f t="shared" si="4"/>
        <v>0.45766174165910106</v>
      </c>
      <c r="K65">
        <v>-1.391699926457076</v>
      </c>
      <c r="L65">
        <f t="shared" si="3"/>
        <v>1.8493616681161771</v>
      </c>
    </row>
    <row r="66" spans="1:12" x14ac:dyDescent="0.8">
      <c r="A66">
        <v>10.17</v>
      </c>
      <c r="B66">
        <v>31.33</v>
      </c>
      <c r="C66">
        <v>3.1843366656181313</v>
      </c>
      <c r="D66">
        <v>8.9896273560142621</v>
      </c>
      <c r="E66" t="s">
        <v>57</v>
      </c>
      <c r="F66">
        <v>6</v>
      </c>
      <c r="G66" s="3">
        <v>0.5</v>
      </c>
      <c r="H66" s="3">
        <v>0.6</v>
      </c>
      <c r="I66" s="2">
        <f>G66/H66</f>
        <v>0.83333333333333337</v>
      </c>
      <c r="J66" s="2">
        <f t="shared" ref="J66:J129" si="5">I66*(1-(3/(4*SUM(D66:E66)-9)))</f>
        <v>0.74059823582942363</v>
      </c>
      <c r="K66">
        <v>2.8953640570148198</v>
      </c>
      <c r="L66">
        <f t="shared" si="3"/>
        <v>-2.1547658211853964</v>
      </c>
    </row>
    <row r="67" spans="1:12" x14ac:dyDescent="0.8">
      <c r="A67">
        <v>20.8</v>
      </c>
      <c r="B67">
        <v>78.400000000000006</v>
      </c>
      <c r="C67">
        <v>5.4868570238343191</v>
      </c>
      <c r="D67">
        <v>23.711060710141162</v>
      </c>
      <c r="E67" t="s">
        <v>57</v>
      </c>
      <c r="F67">
        <v>6</v>
      </c>
      <c r="G67" s="3"/>
      <c r="H67" s="3"/>
      <c r="I67" s="3">
        <f xml:space="preserve"> (_xlfn.NORM.S.INV(1 - 0.05 / 2) + _xlfn.NORM.S.INV(0.8)) * SQRT(1/E67 + 1/F67)</f>
        <v>1.6174959798351987</v>
      </c>
      <c r="J67" s="2">
        <f t="shared" si="5"/>
        <v>1.5609693243608422</v>
      </c>
      <c r="K67">
        <v>3.0884549404228805</v>
      </c>
      <c r="L67">
        <f t="shared" ref="L67:L130" si="6">J67-K67</f>
        <v>-1.5274856160620383</v>
      </c>
    </row>
    <row r="68" spans="1:12" x14ac:dyDescent="0.75">
      <c r="A68">
        <v>50</v>
      </c>
      <c r="B68">
        <v>87.2</v>
      </c>
      <c r="C68">
        <v>35.644073841243234</v>
      </c>
      <c r="D68">
        <v>70.202564055738023</v>
      </c>
      <c r="E68" t="s">
        <v>474</v>
      </c>
      <c r="F68">
        <v>10</v>
      </c>
      <c r="G68" s="5">
        <v>2</v>
      </c>
      <c r="H68" s="2">
        <f>SQRT(((E68 - 1) * C68^2 + (F68 - 1) *D68^2) / (E68 + F68 - 2))</f>
        <v>43.919494532610457</v>
      </c>
      <c r="I68" s="2">
        <f>G68/H68</f>
        <v>4.5537864706411621E-2</v>
      </c>
      <c r="J68" s="2">
        <f t="shared" si="5"/>
        <v>4.5035258233728788E-2</v>
      </c>
      <c r="K68">
        <v>0.83422463403330838</v>
      </c>
      <c r="L68">
        <f t="shared" si="6"/>
        <v>-0.7891893757995796</v>
      </c>
    </row>
    <row r="69" spans="1:12" x14ac:dyDescent="0.75">
      <c r="A69">
        <v>76.8</v>
      </c>
      <c r="B69">
        <v>31</v>
      </c>
      <c r="C69">
        <v>3.3541019662496847</v>
      </c>
      <c r="D69">
        <v>1.8782971010998233</v>
      </c>
      <c r="E69" t="s">
        <v>69</v>
      </c>
      <c r="F69">
        <v>5</v>
      </c>
      <c r="G69" s="5">
        <v>2</v>
      </c>
      <c r="H69" s="2">
        <f>SQRT(((E69 - 1) * C69^2 + (F69 - 1) *D69^2) / (E69 + F69 - 2))</f>
        <v>2.7182715096178307</v>
      </c>
      <c r="I69" s="2">
        <f>G69/H69</f>
        <v>0.73576167536008408</v>
      </c>
      <c r="J69" s="2">
        <f t="shared" si="5"/>
        <v>2.2203378197830479</v>
      </c>
      <c r="K69">
        <v>-15.209596442480541</v>
      </c>
      <c r="L69">
        <f t="shared" si="6"/>
        <v>17.42993426226359</v>
      </c>
    </row>
    <row r="70" spans="1:12" x14ac:dyDescent="0.8">
      <c r="A70">
        <v>41.25</v>
      </c>
      <c r="B70">
        <v>248.5</v>
      </c>
      <c r="C70">
        <v>25.31228950529762</v>
      </c>
      <c r="D70">
        <v>89.778129296616555</v>
      </c>
      <c r="E70" t="s">
        <v>69</v>
      </c>
      <c r="F70">
        <v>5</v>
      </c>
      <c r="G70" s="5"/>
      <c r="H70" s="5"/>
      <c r="I70" s="3">
        <f xml:space="preserve"> (_xlfn.NORM.S.INV(1 - 0.05 / 2) + _xlfn.NORM.S.INV(0.8)) * SQRT(1/E70 + 1/F70)</f>
        <v>1.7718780696593193</v>
      </c>
      <c r="J70" s="2">
        <f t="shared" si="5"/>
        <v>1.7566954242295161</v>
      </c>
      <c r="K70">
        <v>2.8364450793629823</v>
      </c>
      <c r="L70">
        <f t="shared" si="6"/>
        <v>-1.0797496551334662</v>
      </c>
    </row>
    <row r="71" spans="1:12" x14ac:dyDescent="0.8">
      <c r="A71">
        <v>40.299999999999997</v>
      </c>
      <c r="B71">
        <v>29.5</v>
      </c>
      <c r="C71">
        <v>5.1439284598446742</v>
      </c>
      <c r="D71">
        <v>8.8181630740194414</v>
      </c>
      <c r="E71" t="s">
        <v>57</v>
      </c>
      <c r="F71">
        <v>6</v>
      </c>
      <c r="G71" s="5"/>
      <c r="H71" s="5"/>
      <c r="I71" s="3">
        <f xml:space="preserve"> (_xlfn.NORM.S.INV(1 - 0.05 / 2) + _xlfn.NORM.S.INV(0.8)) * SQRT(1/E71 + 1/F71)</f>
        <v>1.6174959798351987</v>
      </c>
      <c r="J71" s="2">
        <f t="shared" si="5"/>
        <v>1.4327986799653252</v>
      </c>
      <c r="K71">
        <v>-1.3805279561949393</v>
      </c>
      <c r="L71">
        <f t="shared" si="6"/>
        <v>2.8133266361602645</v>
      </c>
    </row>
    <row r="72" spans="1:12" x14ac:dyDescent="0.75">
      <c r="A72">
        <v>114.4</v>
      </c>
      <c r="B72">
        <v>46</v>
      </c>
      <c r="C72">
        <v>20.365068131484364</v>
      </c>
      <c r="D72">
        <v>11.257708470199431</v>
      </c>
      <c r="E72" t="s">
        <v>51</v>
      </c>
      <c r="F72">
        <v>10</v>
      </c>
      <c r="G72" s="6">
        <v>1.85</v>
      </c>
      <c r="H72" s="2">
        <f>SQRT(((E72 - 1) * C72^2 + (F72 - 1) *D72^2) / (E72 + F72 - 2))</f>
        <v>16.454057250416994</v>
      </c>
      <c r="I72" s="2">
        <f>G72/H72</f>
        <v>0.11243427513618963</v>
      </c>
      <c r="J72" s="2">
        <f t="shared" si="5"/>
        <v>0.10307277030606325</v>
      </c>
      <c r="K72">
        <v>-3.9809643671175645</v>
      </c>
      <c r="L72">
        <f t="shared" si="6"/>
        <v>4.0840371374236275</v>
      </c>
    </row>
    <row r="73" spans="1:12" x14ac:dyDescent="0.75">
      <c r="A73">
        <v>75</v>
      </c>
      <c r="B73">
        <v>81</v>
      </c>
      <c r="C73">
        <v>20.784609690826528</v>
      </c>
      <c r="D73">
        <v>9.6166522241370469</v>
      </c>
      <c r="E73" t="s">
        <v>109</v>
      </c>
      <c r="F73">
        <v>8</v>
      </c>
      <c r="G73" s="6"/>
      <c r="H73" s="5"/>
      <c r="I73" s="6">
        <v>1.0598000000000001</v>
      </c>
      <c r="J73" s="2">
        <f t="shared" si="5"/>
        <v>0.95190159841730404</v>
      </c>
      <c r="K73">
        <v>0.33175811378099807</v>
      </c>
      <c r="L73">
        <f t="shared" si="6"/>
        <v>0.62014348463630597</v>
      </c>
    </row>
    <row r="74" spans="1:12" x14ac:dyDescent="0.8">
      <c r="A74">
        <v>122</v>
      </c>
      <c r="B74">
        <v>128.66999999999999</v>
      </c>
      <c r="C74">
        <v>13.815122149297123</v>
      </c>
      <c r="D74">
        <v>5.5358468186899819</v>
      </c>
      <c r="E74" t="s">
        <v>57</v>
      </c>
      <c r="F74">
        <v>6</v>
      </c>
      <c r="G74" s="6"/>
      <c r="H74" s="5"/>
      <c r="I74" s="3">
        <f xml:space="preserve"> (_xlfn.NORM.S.INV(1 - 0.05 / 2) + _xlfn.NORM.S.INV(0.8)) * SQRT(1/E74 + 1/F74)</f>
        <v>1.6174959798351987</v>
      </c>
      <c r="J74" s="2">
        <f t="shared" si="5"/>
        <v>1.2482998329009807</v>
      </c>
      <c r="K74">
        <v>0.58483427372048435</v>
      </c>
      <c r="L74">
        <f t="shared" si="6"/>
        <v>0.66346555918049632</v>
      </c>
    </row>
    <row r="75" spans="1:12" x14ac:dyDescent="0.8">
      <c r="A75">
        <v>160.28</v>
      </c>
      <c r="B75">
        <v>312.06</v>
      </c>
      <c r="C75">
        <v>35.891851442911104</v>
      </c>
      <c r="D75">
        <v>125.60566866188803</v>
      </c>
      <c r="E75" t="s">
        <v>51</v>
      </c>
      <c r="F75">
        <v>10</v>
      </c>
      <c r="G75" s="6"/>
      <c r="H75" s="5"/>
      <c r="I75" s="3">
        <f xml:space="preserve"> (_xlfn.NORM.S.INV(1 - 0.05 / 2) + _xlfn.NORM.S.INV(0.8)) * SQRT(1/E75 + 1/F75)</f>
        <v>1.2529069984918344</v>
      </c>
      <c r="J75" s="2">
        <f t="shared" si="5"/>
        <v>1.2452893489823944</v>
      </c>
      <c r="K75">
        <v>1.5735533726744781</v>
      </c>
      <c r="L75">
        <f t="shared" si="6"/>
        <v>-0.32826402369208374</v>
      </c>
    </row>
    <row r="76" spans="1:12" x14ac:dyDescent="0.75">
      <c r="A76">
        <v>233.01</v>
      </c>
      <c r="B76">
        <v>45</v>
      </c>
      <c r="C76">
        <v>11.113257848173955</v>
      </c>
      <c r="D76">
        <v>3.1528558482747036</v>
      </c>
      <c r="E76" t="s">
        <v>69</v>
      </c>
      <c r="F76">
        <v>5</v>
      </c>
      <c r="G76" s="6"/>
      <c r="H76" s="5"/>
      <c r="I76" s="6">
        <v>0.4</v>
      </c>
      <c r="J76" s="2">
        <f t="shared" si="5"/>
        <v>6.7721042541531204E-2</v>
      </c>
      <c r="K76">
        <v>-20.77733492538049</v>
      </c>
      <c r="L76">
        <f t="shared" si="6"/>
        <v>20.845055967922022</v>
      </c>
    </row>
    <row r="77" spans="1:12" x14ac:dyDescent="0.75">
      <c r="A77">
        <v>61.69</v>
      </c>
      <c r="B77">
        <v>28.16</v>
      </c>
      <c r="C77">
        <v>6.9094500504743506</v>
      </c>
      <c r="D77">
        <v>2.5267568145747621</v>
      </c>
      <c r="E77" t="s">
        <v>69</v>
      </c>
      <c r="F77">
        <v>5</v>
      </c>
      <c r="G77" s="6">
        <v>0.7</v>
      </c>
      <c r="H77" s="2">
        <f>SQRT(((E77 - 1) * C77^2 + (F77 - 1) *D77^2) / (E77 + F77 - 2))</f>
        <v>5.2021630116712032</v>
      </c>
      <c r="I77" s="2">
        <f>G77/H77</f>
        <v>0.13455941277301955</v>
      </c>
      <c r="J77" s="2">
        <f t="shared" si="5"/>
        <v>-0.23009126343463937</v>
      </c>
      <c r="K77">
        <v>-5.8182803403629784</v>
      </c>
      <c r="L77">
        <f t="shared" si="6"/>
        <v>5.5881890769283391</v>
      </c>
    </row>
    <row r="78" spans="1:12" x14ac:dyDescent="0.8">
      <c r="A78">
        <v>91.38</v>
      </c>
      <c r="B78">
        <v>35.200000000000003</v>
      </c>
      <c r="C78">
        <v>27.54227114818239</v>
      </c>
      <c r="D78">
        <v>17.885278862796632</v>
      </c>
      <c r="E78" t="s">
        <v>78</v>
      </c>
      <c r="F78">
        <v>7</v>
      </c>
      <c r="G78" s="6"/>
      <c r="H78" s="6"/>
      <c r="I78" s="3">
        <f xml:space="preserve"> (_xlfn.NORM.S.INV(1 - 0.05 / 2) + _xlfn.NORM.S.INV(0.8)) * SQRT(1/E78 + 1/F78)</f>
        <v>1.4975102894327246</v>
      </c>
      <c r="J78" s="2">
        <f t="shared" si="5"/>
        <v>1.4256770508361951</v>
      </c>
      <c r="K78">
        <v>-2.2643501551971528</v>
      </c>
      <c r="L78">
        <f t="shared" si="6"/>
        <v>3.6900272060333479</v>
      </c>
    </row>
    <row r="79" spans="1:12" x14ac:dyDescent="0.8">
      <c r="A79">
        <v>134</v>
      </c>
      <c r="B79">
        <v>69.5</v>
      </c>
      <c r="C79">
        <v>15.970673122946319</v>
      </c>
      <c r="D79">
        <v>12.418912995910713</v>
      </c>
      <c r="E79" t="s">
        <v>57</v>
      </c>
      <c r="F79">
        <v>6</v>
      </c>
      <c r="G79" s="6"/>
      <c r="H79" s="6"/>
      <c r="I79" s="3">
        <f xml:space="preserve"> (_xlfn.NORM.S.INV(1 - 0.05 / 2) + _xlfn.NORM.S.INV(0.8)) * SQRT(1/E79 + 1/F79)</f>
        <v>1.6174959798351987</v>
      </c>
      <c r="J79" s="2">
        <f t="shared" si="5"/>
        <v>1.4981988646603281</v>
      </c>
      <c r="K79">
        <v>-4.1604487573731141</v>
      </c>
      <c r="L79">
        <f t="shared" si="6"/>
        <v>5.6586476220334418</v>
      </c>
    </row>
    <row r="80" spans="1:12" x14ac:dyDescent="0.75">
      <c r="A80">
        <v>29.1</v>
      </c>
      <c r="B80">
        <v>14.05</v>
      </c>
      <c r="C80">
        <v>6.0299999999999994</v>
      </c>
      <c r="D80">
        <v>6</v>
      </c>
      <c r="E80" t="s">
        <v>219</v>
      </c>
      <c r="F80">
        <v>9</v>
      </c>
      <c r="G80" s="6">
        <v>8.1999999999999993</v>
      </c>
      <c r="H80" s="2">
        <f>SQRT(((E80 - 1) * C80^2 + (F80 - 1) *D80^2) / (E80 + F80 - 2))</f>
        <v>6.0150187032128164</v>
      </c>
      <c r="I80" s="2">
        <f>G80/H80</f>
        <v>1.3632542814239486</v>
      </c>
      <c r="J80" s="2">
        <f t="shared" si="5"/>
        <v>1.090603425139159</v>
      </c>
      <c r="K80">
        <v>-2.3826060933361077</v>
      </c>
      <c r="L80">
        <f t="shared" si="6"/>
        <v>3.4732095184752669</v>
      </c>
    </row>
    <row r="81" spans="1:12" x14ac:dyDescent="0.8">
      <c r="A81">
        <v>118.2</v>
      </c>
      <c r="B81">
        <v>166.6</v>
      </c>
      <c r="C81">
        <v>72.44860247099318</v>
      </c>
      <c r="D81">
        <v>27.718585822512665</v>
      </c>
      <c r="E81" t="s">
        <v>92</v>
      </c>
      <c r="F81">
        <v>8</v>
      </c>
      <c r="G81" s="6"/>
      <c r="H81" s="6"/>
      <c r="I81" s="3">
        <f xml:space="preserve"> (_xlfn.NORM.S.INV(1 - 0.05 / 2) + _xlfn.NORM.S.INV(0.8)) * SQRT(1/E81 + 1/F81)</f>
        <v>1.1719871814619349</v>
      </c>
      <c r="J81" s="2">
        <f t="shared" si="5"/>
        <v>1.1374744530276975</v>
      </c>
      <c r="K81">
        <v>0.7390281474830428</v>
      </c>
      <c r="L81">
        <f t="shared" si="6"/>
        <v>0.39844630554465466</v>
      </c>
    </row>
    <row r="82" spans="1:12" x14ac:dyDescent="0.8">
      <c r="A82">
        <v>97.39</v>
      </c>
      <c r="B82">
        <v>28.19</v>
      </c>
      <c r="C82">
        <v>10.851239560529477</v>
      </c>
      <c r="D82">
        <v>9.136596740581254</v>
      </c>
      <c r="E82" t="s">
        <v>57</v>
      </c>
      <c r="F82">
        <v>6</v>
      </c>
      <c r="G82" s="6"/>
      <c r="H82" s="6"/>
      <c r="I82" s="3">
        <f xml:space="preserve"> (_xlfn.NORM.S.INV(1 - 0.05 / 2) + _xlfn.NORM.S.INV(0.8)) * SQRT(1/E82 + 1/F82)</f>
        <v>1.6174959798351987</v>
      </c>
      <c r="J82" s="2">
        <f t="shared" si="5"/>
        <v>1.4413390142722626</v>
      </c>
      <c r="K82">
        <v>-6.3659052253333099</v>
      </c>
      <c r="L82">
        <f t="shared" si="6"/>
        <v>7.8072442396055726</v>
      </c>
    </row>
    <row r="83" spans="1:12" x14ac:dyDescent="0.8">
      <c r="A83">
        <v>82.6</v>
      </c>
      <c r="B83">
        <v>101.8</v>
      </c>
      <c r="C83">
        <v>5.5901699437494745</v>
      </c>
      <c r="D83">
        <v>15.20526224699857</v>
      </c>
      <c r="E83" t="s">
        <v>69</v>
      </c>
      <c r="F83">
        <v>5</v>
      </c>
      <c r="G83" s="6"/>
      <c r="H83" s="6"/>
      <c r="I83" s="3">
        <f xml:space="preserve"> (_xlfn.NORM.S.INV(1 - 0.05 / 2) + _xlfn.NORM.S.INV(0.8)) * SQRT(1/E83 + 1/F83)</f>
        <v>1.7718780696593193</v>
      </c>
      <c r="J83" s="2">
        <f t="shared" si="5"/>
        <v>1.6693013308092535</v>
      </c>
      <c r="K83">
        <v>1.5129967122233601</v>
      </c>
      <c r="L83">
        <f t="shared" si="6"/>
        <v>0.1563046185858934</v>
      </c>
    </row>
    <row r="84" spans="1:12" x14ac:dyDescent="0.75">
      <c r="A84">
        <v>72.66</v>
      </c>
      <c r="B84">
        <v>39.33</v>
      </c>
      <c r="C84">
        <v>18.948635834803515</v>
      </c>
      <c r="D84">
        <v>5.0402678500254332</v>
      </c>
      <c r="E84" t="s">
        <v>81</v>
      </c>
      <c r="F84">
        <v>3</v>
      </c>
      <c r="G84" s="6"/>
      <c r="H84" s="6"/>
      <c r="I84" s="6">
        <v>0.47620000000000001</v>
      </c>
      <c r="J84" s="2">
        <f t="shared" si="5"/>
        <v>0.34820153562435069</v>
      </c>
      <c r="K84">
        <v>-1.9180837224244602</v>
      </c>
      <c r="L84">
        <f t="shared" si="6"/>
        <v>2.2662852580488111</v>
      </c>
    </row>
    <row r="85" spans="1:12" x14ac:dyDescent="0.8">
      <c r="A85">
        <v>282.05</v>
      </c>
      <c r="B85">
        <v>38</v>
      </c>
      <c r="C85">
        <v>22.919696769372845</v>
      </c>
      <c r="D85">
        <v>0</v>
      </c>
      <c r="E85" t="s">
        <v>424</v>
      </c>
      <c r="F85">
        <v>5</v>
      </c>
      <c r="G85" s="6"/>
      <c r="H85" s="6"/>
      <c r="I85" s="3" t="e">
        <f xml:space="preserve"> (_xlfn.NORM.S.INV(1 - 0.05 / 2) + _xlfn.NORM.S.INV(0.8)) * SQRT(1/E85 + 1/F85)</f>
        <v>#VALUE!</v>
      </c>
      <c r="J85" s="2" t="e">
        <f t="shared" si="5"/>
        <v>#VALUE!</v>
      </c>
      <c r="K85">
        <v>-13.593459217079687</v>
      </c>
      <c r="L85" t="e">
        <f t="shared" si="6"/>
        <v>#VALUE!</v>
      </c>
    </row>
    <row r="86" spans="1:12" x14ac:dyDescent="0.8">
      <c r="A86">
        <v>69.5</v>
      </c>
      <c r="B86">
        <v>78.67</v>
      </c>
      <c r="C86">
        <v>18.273193481162508</v>
      </c>
      <c r="D86">
        <v>72.504896386382072</v>
      </c>
      <c r="E86" t="s">
        <v>57</v>
      </c>
      <c r="F86">
        <v>6</v>
      </c>
      <c r="G86" s="7"/>
      <c r="H86" s="7"/>
      <c r="I86" s="8" t="s">
        <v>220</v>
      </c>
      <c r="J86" s="2" t="e">
        <f t="shared" si="5"/>
        <v>#VALUE!</v>
      </c>
      <c r="K86">
        <v>0.16003929839443162</v>
      </c>
      <c r="L86" t="e">
        <f t="shared" si="6"/>
        <v>#VALUE!</v>
      </c>
    </row>
    <row r="87" spans="1:12" x14ac:dyDescent="0.75">
      <c r="A87">
        <v>209.83</v>
      </c>
      <c r="B87">
        <v>12.5</v>
      </c>
      <c r="C87">
        <v>9.7244742788492164</v>
      </c>
      <c r="D87">
        <v>2.0330764865100375</v>
      </c>
      <c r="E87" t="s">
        <v>57</v>
      </c>
      <c r="F87">
        <v>6</v>
      </c>
      <c r="G87" s="6">
        <v>20</v>
      </c>
      <c r="H87" s="2">
        <f>SQRT(((E87 - 1) * C87^2 + (F87 - 1) *D87^2) / (E87 + F87 - 2))</f>
        <v>7.0249128108468355</v>
      </c>
      <c r="I87" s="2">
        <f>G87/H87</f>
        <v>2.8470104239755041</v>
      </c>
      <c r="J87" s="2">
        <f t="shared" si="5"/>
        <v>12.690377717952284</v>
      </c>
      <c r="K87">
        <v>-25.919950288346104</v>
      </c>
      <c r="L87">
        <f t="shared" si="6"/>
        <v>38.610328006298388</v>
      </c>
    </row>
    <row r="88" spans="1:12" x14ac:dyDescent="0.8">
      <c r="A88">
        <v>97.84</v>
      </c>
      <c r="B88">
        <v>173.65</v>
      </c>
      <c r="C88">
        <v>21.645138022197965</v>
      </c>
      <c r="D88">
        <v>20.43766131434808</v>
      </c>
      <c r="E88" t="s">
        <v>69</v>
      </c>
      <c r="F88">
        <v>5</v>
      </c>
      <c r="G88" s="6"/>
      <c r="H88" s="6"/>
      <c r="I88" s="3">
        <f xml:space="preserve"> (_xlfn.NORM.S.INV(1 - 0.05 / 2) + _xlfn.NORM.S.INV(0.8)) * SQRT(1/E88 + 1/F88)</f>
        <v>1.7718780696593193</v>
      </c>
      <c r="J88" s="2">
        <f t="shared" si="5"/>
        <v>1.698811580830647</v>
      </c>
      <c r="K88">
        <v>3.2510093431576994</v>
      </c>
      <c r="L88">
        <f t="shared" si="6"/>
        <v>-1.5521977623270524</v>
      </c>
    </row>
    <row r="89" spans="1:12" x14ac:dyDescent="0.75">
      <c r="A89">
        <v>98.59</v>
      </c>
      <c r="B89">
        <v>298.08999999999997</v>
      </c>
      <c r="C89">
        <v>15.69</v>
      </c>
      <c r="D89">
        <v>42.58</v>
      </c>
      <c r="E89" t="s">
        <v>57</v>
      </c>
      <c r="F89">
        <v>6</v>
      </c>
      <c r="G89" s="6">
        <v>40</v>
      </c>
      <c r="H89" s="2">
        <f>SQRT(((E89 - 1) * C89^2 + (F89 - 1) *D89^2) / (E89 + F89 - 2))</f>
        <v>32.087633910900941</v>
      </c>
      <c r="I89" s="2">
        <f>G89/H89</f>
        <v>1.2465861493891901</v>
      </c>
      <c r="J89" s="2">
        <f t="shared" si="5"/>
        <v>1.223403912542131</v>
      </c>
      <c r="K89">
        <v>5.737030948363314</v>
      </c>
      <c r="L89">
        <f t="shared" si="6"/>
        <v>-4.513627035821183</v>
      </c>
    </row>
    <row r="90" spans="1:12" x14ac:dyDescent="0.75">
      <c r="A90">
        <v>139.29</v>
      </c>
      <c r="B90">
        <v>154.85</v>
      </c>
      <c r="C90">
        <v>47.940129328152636</v>
      </c>
      <c r="D90">
        <v>54.296307425091079</v>
      </c>
      <c r="E90" t="s">
        <v>51</v>
      </c>
      <c r="F90">
        <v>10</v>
      </c>
      <c r="G90" s="6"/>
      <c r="H90" s="6"/>
      <c r="I90" s="6">
        <v>1.23</v>
      </c>
      <c r="J90" s="2">
        <f t="shared" si="5"/>
        <v>1.2122753996270008</v>
      </c>
      <c r="K90">
        <v>0.29093861021639966</v>
      </c>
      <c r="L90">
        <f t="shared" si="6"/>
        <v>0.92133678941060115</v>
      </c>
    </row>
    <row r="91" spans="1:12" x14ac:dyDescent="0.75">
      <c r="A91">
        <v>164.5</v>
      </c>
      <c r="B91">
        <v>132.5</v>
      </c>
      <c r="C91">
        <v>34.294605989863769</v>
      </c>
      <c r="D91">
        <v>37.412297443487752</v>
      </c>
      <c r="E91" t="s">
        <v>57</v>
      </c>
      <c r="F91">
        <v>12</v>
      </c>
      <c r="G91" s="6"/>
      <c r="H91" s="6"/>
      <c r="I91" s="6">
        <v>0.4</v>
      </c>
      <c r="J91" s="2">
        <f t="shared" si="5"/>
        <v>0.39146813428553257</v>
      </c>
      <c r="K91">
        <v>-0.86087280756100115</v>
      </c>
      <c r="L91">
        <f t="shared" si="6"/>
        <v>1.2523409418465337</v>
      </c>
    </row>
    <row r="92" spans="1:12" x14ac:dyDescent="0.75">
      <c r="A92">
        <v>83.8</v>
      </c>
      <c r="B92">
        <v>126.8</v>
      </c>
      <c r="C92">
        <v>9.1455180279741395</v>
      </c>
      <c r="D92">
        <v>57.310422263319609</v>
      </c>
      <c r="E92" t="s">
        <v>69</v>
      </c>
      <c r="F92">
        <v>5</v>
      </c>
      <c r="G92" s="6"/>
      <c r="H92" s="6"/>
      <c r="I92" s="6">
        <v>0.4</v>
      </c>
      <c r="J92" s="2">
        <f t="shared" si="5"/>
        <v>0.39455144026020567</v>
      </c>
      <c r="K92">
        <v>0.94587642062788857</v>
      </c>
      <c r="L92">
        <f t="shared" si="6"/>
        <v>-0.55132498036768296</v>
      </c>
    </row>
    <row r="93" spans="1:12" x14ac:dyDescent="0.8">
      <c r="A93">
        <v>145.66999999999999</v>
      </c>
      <c r="B93">
        <v>267.23</v>
      </c>
      <c r="C93">
        <v>11.539982668964457</v>
      </c>
      <c r="D93">
        <v>14.396694064958108</v>
      </c>
      <c r="E93" t="s">
        <v>65</v>
      </c>
      <c r="F93">
        <v>8</v>
      </c>
      <c r="G93" s="4"/>
      <c r="H93" s="4"/>
      <c r="I93" s="3">
        <f xml:space="preserve"> (_xlfn.NORM.S.INV(1 - 0.05 / 2) + _xlfn.NORM.S.INV(0.8)) * SQRT(1/E93 + 1/F93)</f>
        <v>1.4007926090564842</v>
      </c>
      <c r="J93" s="2">
        <f t="shared" si="5"/>
        <v>1.3143003955229915</v>
      </c>
      <c r="K93">
        <v>8.80748617400676</v>
      </c>
      <c r="L93">
        <f t="shared" si="6"/>
        <v>-7.4931857784837685</v>
      </c>
    </row>
    <row r="94" spans="1:12" x14ac:dyDescent="0.8">
      <c r="A94">
        <v>61</v>
      </c>
      <c r="B94">
        <v>76</v>
      </c>
      <c r="C94">
        <v>12.982295636750843</v>
      </c>
      <c r="D94">
        <v>60.502396646744494</v>
      </c>
      <c r="E94" t="s">
        <v>57</v>
      </c>
      <c r="F94">
        <v>6</v>
      </c>
      <c r="G94" s="4"/>
      <c r="H94" s="4"/>
      <c r="I94" s="3">
        <f xml:space="preserve"> (_xlfn.NORM.S.INV(1 - 0.05 / 2) + _xlfn.NORM.S.INV(0.8)) * SQRT(1/E94 + 1/F94)</f>
        <v>1.6174959798351987</v>
      </c>
      <c r="J94" s="2">
        <f t="shared" si="5"/>
        <v>1.59667070817757</v>
      </c>
      <c r="K94">
        <v>0.31633046783753399</v>
      </c>
      <c r="L94">
        <f t="shared" si="6"/>
        <v>1.2803402403400359</v>
      </c>
    </row>
    <row r="95" spans="1:12" x14ac:dyDescent="0.8">
      <c r="A95">
        <v>66</v>
      </c>
      <c r="B95">
        <v>24.3</v>
      </c>
      <c r="C95">
        <v>12.488074311117787</v>
      </c>
      <c r="D95">
        <v>20.107709964090887</v>
      </c>
      <c r="E95" t="s">
        <v>139</v>
      </c>
      <c r="F95">
        <v>7</v>
      </c>
      <c r="G95" s="4"/>
      <c r="H95" s="4"/>
      <c r="I95" s="4">
        <v>0.67</v>
      </c>
      <c r="J95" s="2">
        <f t="shared" si="5"/>
        <v>0.64186089364143273</v>
      </c>
      <c r="K95">
        <v>-2.895584383295172</v>
      </c>
      <c r="L95">
        <f t="shared" si="6"/>
        <v>3.5374452769366047</v>
      </c>
    </row>
    <row r="96" spans="1:12" x14ac:dyDescent="0.8">
      <c r="A96">
        <v>101.73</v>
      </c>
      <c r="B96">
        <v>33.909999999999997</v>
      </c>
      <c r="C96">
        <v>6.9054109218785813</v>
      </c>
      <c r="D96">
        <v>131.04406243702917</v>
      </c>
      <c r="E96" t="s">
        <v>78</v>
      </c>
      <c r="F96">
        <v>7</v>
      </c>
      <c r="G96" s="4"/>
      <c r="H96" s="4"/>
      <c r="I96" s="6">
        <v>0.4</v>
      </c>
      <c r="J96" s="2">
        <f t="shared" si="5"/>
        <v>0.39767070007480604</v>
      </c>
      <c r="K96">
        <v>-0.68407253015962455</v>
      </c>
      <c r="L96">
        <f t="shared" si="6"/>
        <v>1.0817432302344305</v>
      </c>
    </row>
    <row r="97" spans="1:12" x14ac:dyDescent="0.8">
      <c r="A97">
        <v>68.430000000000007</v>
      </c>
      <c r="B97">
        <v>37.96</v>
      </c>
      <c r="C97">
        <v>11.165070532692573</v>
      </c>
      <c r="D97">
        <v>11.165070532692573</v>
      </c>
      <c r="E97" t="s">
        <v>78</v>
      </c>
      <c r="F97">
        <v>7</v>
      </c>
      <c r="G97" s="4"/>
      <c r="H97" s="4"/>
      <c r="I97" s="6">
        <v>0.4</v>
      </c>
      <c r="J97" s="2">
        <f t="shared" si="5"/>
        <v>0.36634911648765245</v>
      </c>
      <c r="K97">
        <v>-2.5542290360330435</v>
      </c>
      <c r="L97">
        <f t="shared" si="6"/>
        <v>2.920578152520696</v>
      </c>
    </row>
    <row r="98" spans="1:12" x14ac:dyDescent="0.8">
      <c r="A98">
        <v>140.44</v>
      </c>
      <c r="B98">
        <v>133.49</v>
      </c>
      <c r="C98">
        <v>36.229999999999997</v>
      </c>
      <c r="D98">
        <v>31.27</v>
      </c>
      <c r="E98" t="s">
        <v>65</v>
      </c>
      <c r="F98">
        <v>8</v>
      </c>
      <c r="G98" s="4"/>
      <c r="H98" s="4"/>
      <c r="I98" s="3">
        <f xml:space="preserve"> (_xlfn.NORM.S.INV(1 - 0.05 / 2) + _xlfn.NORM.S.INV(0.8)) * SQRT(1/E98 + 1/F98)</f>
        <v>1.4007926090564842</v>
      </c>
      <c r="J98" s="2">
        <f t="shared" si="5"/>
        <v>1.364590181186313</v>
      </c>
      <c r="K98">
        <v>-0.19413583557001049</v>
      </c>
      <c r="L98">
        <f t="shared" si="6"/>
        <v>1.5587260167563235</v>
      </c>
    </row>
    <row r="99" spans="1:12" x14ac:dyDescent="0.8">
      <c r="A99">
        <v>66</v>
      </c>
      <c r="B99">
        <v>24.3</v>
      </c>
      <c r="C99">
        <v>12.488074311117787</v>
      </c>
      <c r="D99">
        <v>20.134167477201537</v>
      </c>
      <c r="E99" t="s">
        <v>139</v>
      </c>
      <c r="F99">
        <v>7</v>
      </c>
      <c r="G99" s="4"/>
      <c r="H99" s="4"/>
      <c r="I99" s="3">
        <f xml:space="preserve"> (_xlfn.NORM.S.INV(1 - 0.05 / 2) + _xlfn.NORM.S.INV(0.8)) * SQRT(1/E99 + 1/F99)</f>
        <v>1.1759667758728323</v>
      </c>
      <c r="J99" s="2">
        <f t="shared" si="5"/>
        <v>1.1266508050271693</v>
      </c>
      <c r="K99">
        <v>-2.8942542578734587</v>
      </c>
      <c r="L99">
        <f t="shared" si="6"/>
        <v>4.0209050629006278</v>
      </c>
    </row>
    <row r="100" spans="1:12" x14ac:dyDescent="0.8">
      <c r="A100">
        <v>99.06</v>
      </c>
      <c r="B100">
        <v>36.24</v>
      </c>
      <c r="C100">
        <v>8.8860002250731469</v>
      </c>
      <c r="D100">
        <v>10.182534065742182</v>
      </c>
      <c r="E100" t="s">
        <v>51</v>
      </c>
      <c r="F100">
        <v>10</v>
      </c>
      <c r="G100" s="9">
        <v>34</v>
      </c>
      <c r="H100" s="4"/>
      <c r="I100" s="10">
        <v>0.92</v>
      </c>
      <c r="J100" s="2">
        <f t="shared" si="5"/>
        <v>0.83301644666363717</v>
      </c>
      <c r="K100">
        <v>-6.2952680758734703</v>
      </c>
      <c r="L100">
        <f t="shared" si="6"/>
        <v>7.1282845225371076</v>
      </c>
    </row>
    <row r="101" spans="1:12" x14ac:dyDescent="0.8">
      <c r="A101">
        <v>55.95</v>
      </c>
      <c r="B101">
        <v>41.96</v>
      </c>
      <c r="C101">
        <v>44.45303139269582</v>
      </c>
      <c r="D101">
        <v>46.107721696045665</v>
      </c>
      <c r="E101" t="s">
        <v>69</v>
      </c>
      <c r="F101">
        <v>5</v>
      </c>
      <c r="G101" s="4"/>
      <c r="H101" s="4"/>
      <c r="I101" s="4">
        <v>0.26986009999999999</v>
      </c>
      <c r="J101" s="2">
        <f t="shared" si="5"/>
        <v>0.26524528949062853</v>
      </c>
      <c r="K101">
        <v>-0.27885616361791282</v>
      </c>
      <c r="L101">
        <f t="shared" si="6"/>
        <v>0.5441014531085413</v>
      </c>
    </row>
    <row r="102" spans="1:12" x14ac:dyDescent="0.8">
      <c r="A102">
        <v>135</v>
      </c>
      <c r="B102">
        <v>105.33</v>
      </c>
      <c r="C102">
        <v>7.8262379212492643</v>
      </c>
      <c r="D102">
        <v>4.6510213931995628</v>
      </c>
      <c r="E102" t="s">
        <v>69</v>
      </c>
      <c r="F102">
        <v>5</v>
      </c>
      <c r="G102" s="4"/>
      <c r="H102" s="4"/>
      <c r="I102" s="3">
        <f xml:space="preserve"> (_xlfn.NORM.S.INV(1 - 0.05 / 2) + _xlfn.NORM.S.INV(0.8)) * SQRT(1/E102 + 1/F102)</f>
        <v>1.7718780696593193</v>
      </c>
      <c r="J102" s="2">
        <f t="shared" si="5"/>
        <v>1.218401721631613</v>
      </c>
      <c r="K102">
        <v>-4.160518708971459</v>
      </c>
      <c r="L102">
        <f t="shared" si="6"/>
        <v>5.3789204306030722</v>
      </c>
    </row>
    <row r="103" spans="1:12" x14ac:dyDescent="0.8">
      <c r="A103">
        <v>45.33</v>
      </c>
      <c r="B103">
        <v>28.1</v>
      </c>
      <c r="C103">
        <v>4.0163665171395904</v>
      </c>
      <c r="D103">
        <v>3.5921024484276618</v>
      </c>
      <c r="E103" t="s">
        <v>65</v>
      </c>
      <c r="F103">
        <v>8</v>
      </c>
      <c r="G103" s="4">
        <v>15</v>
      </c>
      <c r="H103" s="2">
        <f>SQRT(((E103 - 1) * C103^2 + (F103 - 1) *D103^2) / (E103 + F103 - 2))</f>
        <v>3.8101443542207165</v>
      </c>
      <c r="I103" s="2">
        <f>G103/H103</f>
        <v>3.936858713340778</v>
      </c>
      <c r="J103" s="2">
        <f t="shared" si="5"/>
        <v>1.7368448183771339</v>
      </c>
      <c r="K103">
        <v>-4.2747219164843324</v>
      </c>
      <c r="L103">
        <f t="shared" si="6"/>
        <v>6.0115667348614661</v>
      </c>
    </row>
    <row r="104" spans="1:12" x14ac:dyDescent="0.8">
      <c r="A104">
        <v>76.47</v>
      </c>
      <c r="B104">
        <v>102.94</v>
      </c>
      <c r="C104">
        <v>8.0833161511844871</v>
      </c>
      <c r="D104">
        <v>13.49668848273531</v>
      </c>
      <c r="E104" t="s">
        <v>57</v>
      </c>
      <c r="F104">
        <v>6</v>
      </c>
      <c r="G104" s="4"/>
      <c r="H104" s="4"/>
      <c r="I104" s="6">
        <v>0.4</v>
      </c>
      <c r="J104" s="2">
        <f t="shared" si="5"/>
        <v>0.37332548149968525</v>
      </c>
      <c r="K104">
        <v>2.1956484112955446</v>
      </c>
      <c r="L104">
        <f t="shared" si="6"/>
        <v>-1.8223229297958592</v>
      </c>
    </row>
    <row r="105" spans="1:12" x14ac:dyDescent="0.8">
      <c r="A105">
        <v>118.2</v>
      </c>
      <c r="B105">
        <v>187.5</v>
      </c>
      <c r="C105">
        <v>16.093147610085481</v>
      </c>
      <c r="D105">
        <v>51.978172341859029</v>
      </c>
      <c r="E105" t="s">
        <v>57</v>
      </c>
      <c r="F105">
        <v>6</v>
      </c>
      <c r="G105" s="4"/>
      <c r="H105" s="4"/>
      <c r="I105" s="3">
        <f xml:space="preserve"> (_xlfn.NORM.S.INV(1 - 0.05 / 2) + _xlfn.NORM.S.INV(0.8)) * SQRT(1/E105 + 1/F105)</f>
        <v>1.6174959798351987</v>
      </c>
      <c r="J105" s="2">
        <f t="shared" si="5"/>
        <v>1.5931009150711706</v>
      </c>
      <c r="K105">
        <v>1.6620020884960109</v>
      </c>
      <c r="L105">
        <f t="shared" si="6"/>
        <v>-6.8901173424840367E-2</v>
      </c>
    </row>
    <row r="106" spans="1:12" x14ac:dyDescent="0.8">
      <c r="A106">
        <v>66.400000000000006</v>
      </c>
      <c r="B106">
        <v>33.6</v>
      </c>
      <c r="C106">
        <v>19.677398201998152</v>
      </c>
      <c r="D106">
        <v>20.43766131434808</v>
      </c>
      <c r="E106" t="s">
        <v>69</v>
      </c>
      <c r="F106">
        <v>5</v>
      </c>
      <c r="G106" s="4"/>
      <c r="H106" s="4"/>
      <c r="I106" s="6">
        <v>0.4</v>
      </c>
      <c r="J106" s="2">
        <f t="shared" si="5"/>
        <v>0.38350530093919594</v>
      </c>
      <c r="K106">
        <v>-1.4759221949393675</v>
      </c>
      <c r="L106">
        <f t="shared" si="6"/>
        <v>1.8594274958785635</v>
      </c>
    </row>
    <row r="107" spans="1:12" x14ac:dyDescent="0.8">
      <c r="A107">
        <v>201.85</v>
      </c>
      <c r="B107">
        <v>225.52</v>
      </c>
      <c r="C107">
        <v>41.72</v>
      </c>
      <c r="D107">
        <v>62.6</v>
      </c>
      <c r="E107" t="s">
        <v>659</v>
      </c>
      <c r="F107">
        <v>16</v>
      </c>
      <c r="G107" s="4"/>
      <c r="H107" s="4"/>
      <c r="I107" s="6" t="e">
        <f>SQRT(3)/PI()*LN((#REF!/(1-#REF!))/(#REF!/(1-#REF!)))</f>
        <v>#REF!</v>
      </c>
      <c r="J107" s="2" t="e">
        <f t="shared" si="5"/>
        <v>#REF!</v>
      </c>
      <c r="K107">
        <v>0.43373691485631682</v>
      </c>
      <c r="L107" t="e">
        <f t="shared" si="6"/>
        <v>#REF!</v>
      </c>
    </row>
    <row r="108" spans="1:12" x14ac:dyDescent="0.8">
      <c r="A108">
        <v>66.8</v>
      </c>
      <c r="B108">
        <v>80</v>
      </c>
      <c r="C108">
        <v>17.666918237202545</v>
      </c>
      <c r="D108">
        <v>40.183578735597948</v>
      </c>
      <c r="E108" t="s">
        <v>109</v>
      </c>
      <c r="F108">
        <v>12</v>
      </c>
      <c r="G108" s="4"/>
      <c r="H108" s="4"/>
      <c r="I108" s="3">
        <f xml:space="preserve"> (_xlfn.NORM.S.INV(1 - 0.05 / 2) + _xlfn.NORM.S.INV(0.8)) * SQRT(1/E108 + 1/F108)</f>
        <v>1.1437423758834482</v>
      </c>
      <c r="J108" s="2">
        <f t="shared" si="5"/>
        <v>1.1211289866250391</v>
      </c>
      <c r="K108">
        <v>0.4105784828110608</v>
      </c>
      <c r="L108">
        <f t="shared" si="6"/>
        <v>0.71055050381397833</v>
      </c>
    </row>
    <row r="109" spans="1:12" x14ac:dyDescent="0.8">
      <c r="A109">
        <v>110.64</v>
      </c>
      <c r="B109">
        <v>74.319999999999993</v>
      </c>
      <c r="C109">
        <v>21.946206961568556</v>
      </c>
      <c r="D109">
        <v>37.378121943190273</v>
      </c>
      <c r="E109" t="s">
        <v>51</v>
      </c>
      <c r="F109">
        <v>10</v>
      </c>
      <c r="G109" s="4"/>
      <c r="H109" s="4"/>
      <c r="I109" s="3">
        <f xml:space="preserve"> (_xlfn.NORM.S.INV(1 - 0.05 / 2) + _xlfn.NORM.S.INV(0.8)) * SQRT(1/E109 + 1/F109)</f>
        <v>1.2529069984918344</v>
      </c>
      <c r="J109" s="2">
        <f t="shared" si="5"/>
        <v>1.2261569134634192</v>
      </c>
      <c r="K109">
        <v>-1.1348288753149651</v>
      </c>
      <c r="L109">
        <f t="shared" si="6"/>
        <v>2.3609857887783843</v>
      </c>
    </row>
    <row r="110" spans="1:12" x14ac:dyDescent="0.8">
      <c r="A110">
        <v>50.6</v>
      </c>
      <c r="B110">
        <v>24.3</v>
      </c>
      <c r="C110">
        <v>20.312469076899543</v>
      </c>
      <c r="D110">
        <v>20.107709964090887</v>
      </c>
      <c r="E110" t="s">
        <v>455</v>
      </c>
      <c r="F110">
        <v>7</v>
      </c>
      <c r="G110" s="4"/>
      <c r="H110" s="4"/>
      <c r="I110" s="3">
        <f xml:space="preserve"> (_xlfn.NORM.S.INV(1 - 0.05 / 2) + _xlfn.NORM.S.INV(0.8)) * SQRT(1/E110 + 1/F110)</f>
        <v>1.2386958734351363</v>
      </c>
      <c r="J110" s="2">
        <f t="shared" si="5"/>
        <v>1.1866722989149727</v>
      </c>
      <c r="K110">
        <v>-1.2569671154449218</v>
      </c>
      <c r="L110">
        <f t="shared" si="6"/>
        <v>2.4436394143598945</v>
      </c>
    </row>
    <row r="111" spans="1:12" x14ac:dyDescent="0.8">
      <c r="A111">
        <v>53.5</v>
      </c>
      <c r="B111">
        <v>36.67</v>
      </c>
      <c r="C111">
        <v>6.319683536380599</v>
      </c>
      <c r="D111">
        <v>3.6742346141747668</v>
      </c>
      <c r="E111" t="s">
        <v>57</v>
      </c>
      <c r="F111">
        <v>6</v>
      </c>
      <c r="G111" s="4"/>
      <c r="H111" s="4"/>
      <c r="I111" s="3">
        <f xml:space="preserve"> (_xlfn.NORM.S.INV(1 - 0.05 / 2) + _xlfn.NORM.S.INV(0.8)) * SQRT(1/E111 + 1/F111)</f>
        <v>1.6174959798351987</v>
      </c>
      <c r="J111" s="2">
        <f t="shared" si="5"/>
        <v>0.76572480898824602</v>
      </c>
      <c r="K111">
        <v>-3.0043766457214995</v>
      </c>
      <c r="L111">
        <f t="shared" si="6"/>
        <v>3.7701014547097458</v>
      </c>
    </row>
    <row r="112" spans="1:12" x14ac:dyDescent="0.8">
      <c r="A112">
        <v>70.989999999999995</v>
      </c>
      <c r="B112">
        <v>18.11</v>
      </c>
      <c r="C112">
        <v>11.940602999848878</v>
      </c>
      <c r="D112">
        <v>3.3317412864746867</v>
      </c>
      <c r="E112" t="s">
        <v>69</v>
      </c>
      <c r="F112">
        <v>5</v>
      </c>
      <c r="G112" s="4">
        <v>0.5</v>
      </c>
      <c r="H112" s="2">
        <f>SQRT(((E112 - 1) * C112^2 + (F112 - 1) *D112^2) / (E112 + F112 - 2))</f>
        <v>8.7658000205343498</v>
      </c>
      <c r="I112" s="2">
        <f>G112/H112</f>
        <v>5.7039859320167419E-2</v>
      </c>
      <c r="J112" s="2">
        <f t="shared" si="5"/>
        <v>1.7492608027261686E-2</v>
      </c>
      <c r="K112">
        <v>-5.4455899259607676</v>
      </c>
      <c r="L112">
        <f t="shared" si="6"/>
        <v>5.4630825339880289</v>
      </c>
    </row>
    <row r="113" spans="1:12" x14ac:dyDescent="0.8">
      <c r="A113">
        <v>74.5</v>
      </c>
      <c r="B113">
        <v>60.3</v>
      </c>
      <c r="C113">
        <v>30.357865537616441</v>
      </c>
      <c r="D113">
        <v>29.409182239565933</v>
      </c>
      <c r="E113" t="s">
        <v>69</v>
      </c>
      <c r="F113">
        <v>10</v>
      </c>
      <c r="G113" s="4"/>
      <c r="H113" s="2"/>
      <c r="I113" s="3">
        <f xml:space="preserve"> (_xlfn.NORM.S.INV(1 - 0.05 / 2) + _xlfn.NORM.S.INV(0.8)) * SQRT(1/E113 + 1/F113)</f>
        <v>1.5344914207335039</v>
      </c>
      <c r="J113" s="2">
        <f t="shared" si="5"/>
        <v>1.4921164863412038</v>
      </c>
      <c r="K113">
        <v>-0.4549954195211241</v>
      </c>
      <c r="L113">
        <f t="shared" si="6"/>
        <v>1.9471119058623279</v>
      </c>
    </row>
    <row r="114" spans="1:12" x14ac:dyDescent="0.8">
      <c r="A114">
        <v>144.6</v>
      </c>
      <c r="B114">
        <v>120.1</v>
      </c>
      <c r="C114">
        <v>39.844698518121582</v>
      </c>
      <c r="D114">
        <v>63.245553203367592</v>
      </c>
      <c r="E114" t="s">
        <v>51</v>
      </c>
      <c r="F114">
        <v>10</v>
      </c>
      <c r="G114" s="4"/>
      <c r="H114" s="3"/>
      <c r="I114" s="3">
        <f xml:space="preserve"> (_xlfn.NORM.S.INV(1 - 0.05 / 2) + _xlfn.NORM.S.INV(0.8)) * SQRT(1/E114 + 1/F114)</f>
        <v>1.2529069984918344</v>
      </c>
      <c r="J114" s="2">
        <f t="shared" si="5"/>
        <v>1.2375012811973973</v>
      </c>
      <c r="K114">
        <v>-0.44388822074698492</v>
      </c>
      <c r="L114">
        <f t="shared" si="6"/>
        <v>1.6813895019443823</v>
      </c>
    </row>
    <row r="115" spans="1:12" x14ac:dyDescent="0.8">
      <c r="A115">
        <v>47.81</v>
      </c>
      <c r="B115">
        <v>42.31</v>
      </c>
      <c r="C115">
        <v>16.28</v>
      </c>
      <c r="D115">
        <v>18.8</v>
      </c>
      <c r="E115" t="s">
        <v>659</v>
      </c>
      <c r="F115">
        <v>16</v>
      </c>
      <c r="G115" s="4"/>
      <c r="H115" s="2"/>
      <c r="I115" s="4">
        <v>0.4</v>
      </c>
      <c r="J115" s="2">
        <f t="shared" si="5"/>
        <v>0.3818731117824774</v>
      </c>
      <c r="K115">
        <v>-0.30486713781787594</v>
      </c>
      <c r="L115">
        <f t="shared" si="6"/>
        <v>0.6867402496003534</v>
      </c>
    </row>
    <row r="116" spans="1:12" x14ac:dyDescent="0.8">
      <c r="A116">
        <v>93.09</v>
      </c>
      <c r="B116">
        <v>139.63</v>
      </c>
      <c r="C116">
        <v>5.09</v>
      </c>
      <c r="D116">
        <v>5.4600000000000071</v>
      </c>
      <c r="E116" t="s">
        <v>57</v>
      </c>
      <c r="F116">
        <v>6</v>
      </c>
      <c r="G116" s="4"/>
      <c r="H116" s="2"/>
      <c r="I116" s="4">
        <v>1.5</v>
      </c>
      <c r="J116" s="2">
        <f t="shared" si="5"/>
        <v>1.1495327102803747</v>
      </c>
      <c r="K116">
        <v>8.1361506010265625</v>
      </c>
      <c r="L116">
        <f t="shared" si="6"/>
        <v>-6.9866178907461878</v>
      </c>
    </row>
    <row r="117" spans="1:12" x14ac:dyDescent="0.8">
      <c r="A117">
        <v>130.54</v>
      </c>
      <c r="B117">
        <v>6.87</v>
      </c>
      <c r="C117">
        <v>2.4004999479275142</v>
      </c>
      <c r="D117">
        <v>0.26944387170614958</v>
      </c>
      <c r="E117" t="s">
        <v>57</v>
      </c>
      <c r="F117">
        <v>6</v>
      </c>
      <c r="G117" s="4"/>
      <c r="H117" s="2"/>
      <c r="I117" s="4">
        <v>0.87</v>
      </c>
      <c r="J117" s="2">
        <f t="shared" si="5"/>
        <v>1.1994529201563684</v>
      </c>
      <c r="K117">
        <v>-66.80991438409184</v>
      </c>
      <c r="L117">
        <f t="shared" si="6"/>
        <v>68.009367304248215</v>
      </c>
    </row>
    <row r="118" spans="1:12" x14ac:dyDescent="0.8">
      <c r="A118">
        <v>81.709999999999994</v>
      </c>
      <c r="B118">
        <v>55.3</v>
      </c>
      <c r="C118">
        <v>20.310000000000031</v>
      </c>
      <c r="D118">
        <v>10.83</v>
      </c>
      <c r="E118" t="s">
        <v>219</v>
      </c>
      <c r="F118">
        <v>9</v>
      </c>
      <c r="G118" s="4"/>
      <c r="H118" s="2"/>
      <c r="I118" s="4">
        <v>5</v>
      </c>
      <c r="J118" s="2">
        <f t="shared" si="5"/>
        <v>4.5629370629370634</v>
      </c>
      <c r="K118">
        <v>-1.5452056961007239</v>
      </c>
      <c r="L118">
        <f t="shared" si="6"/>
        <v>6.1081427590377873</v>
      </c>
    </row>
    <row r="119" spans="1:12" x14ac:dyDescent="0.8">
      <c r="A119">
        <v>118</v>
      </c>
      <c r="B119">
        <v>155</v>
      </c>
      <c r="C119">
        <v>31.353468707624678</v>
      </c>
      <c r="D119">
        <v>20.575713839378697</v>
      </c>
      <c r="E119" t="s">
        <v>57</v>
      </c>
      <c r="F119">
        <v>6</v>
      </c>
      <c r="G119" s="4" t="s">
        <v>1208</v>
      </c>
      <c r="H119" s="2"/>
      <c r="I119" s="4">
        <v>1.17</v>
      </c>
      <c r="J119" s="2">
        <f t="shared" si="5"/>
        <v>1.1221164628187956</v>
      </c>
      <c r="K119">
        <v>1.2874912311138405</v>
      </c>
      <c r="L119">
        <f t="shared" si="6"/>
        <v>-0.16537476829504483</v>
      </c>
    </row>
    <row r="120" spans="1:12" x14ac:dyDescent="0.8">
      <c r="A120">
        <v>118.2</v>
      </c>
      <c r="B120">
        <v>170.3</v>
      </c>
      <c r="C120">
        <v>45.615786740995709</v>
      </c>
      <c r="D120">
        <v>28.174456516497351</v>
      </c>
      <c r="E120" t="s">
        <v>92</v>
      </c>
      <c r="F120">
        <v>20</v>
      </c>
      <c r="G120" s="4" t="e">
        <f>#REF!-#REF!</f>
        <v>#REF!</v>
      </c>
      <c r="H120" s="2">
        <f>SQRT(((E120 - 1) * C120^2 + (F120 - 1) *D120^2) / (E120 + F120 - 2))</f>
        <v>37.911739606617893</v>
      </c>
      <c r="I120" s="2" t="e">
        <f>G120/H120</f>
        <v>#REF!</v>
      </c>
      <c r="J120" s="2" t="e">
        <f t="shared" si="5"/>
        <v>#REF!</v>
      </c>
      <c r="K120">
        <v>1.3469113388325975</v>
      </c>
      <c r="L120" t="e">
        <f t="shared" si="6"/>
        <v>#REF!</v>
      </c>
    </row>
    <row r="121" spans="1:12" x14ac:dyDescent="0.8">
      <c r="A121">
        <v>48.4</v>
      </c>
      <c r="B121">
        <v>55.51</v>
      </c>
      <c r="C121">
        <v>7.4313525013956925</v>
      </c>
      <c r="D121">
        <v>16.909704314387049</v>
      </c>
      <c r="E121" t="s">
        <v>51</v>
      </c>
      <c r="F121">
        <v>21</v>
      </c>
      <c r="G121" s="4"/>
      <c r="H121" s="2"/>
      <c r="I121" s="4">
        <v>0.8</v>
      </c>
      <c r="J121" s="2">
        <f t="shared" si="5"/>
        <v>0.75907148008359493</v>
      </c>
      <c r="K121">
        <v>0.47295927674898169</v>
      </c>
      <c r="L121">
        <f t="shared" si="6"/>
        <v>0.28611220333461324</v>
      </c>
    </row>
    <row r="122" spans="1:12" x14ac:dyDescent="0.8">
      <c r="A122">
        <v>60.4</v>
      </c>
      <c r="B122">
        <v>7.3</v>
      </c>
      <c r="C122">
        <v>27.727242920997394</v>
      </c>
      <c r="D122">
        <v>11.180339887498949</v>
      </c>
      <c r="E122" t="s">
        <v>69</v>
      </c>
      <c r="F122">
        <v>5</v>
      </c>
      <c r="G122" s="4"/>
      <c r="H122" s="3"/>
      <c r="I122" s="3">
        <f xml:space="preserve"> (_xlfn.NORM.S.INV(1 - 0.05 / 2) + _xlfn.NORM.S.INV(0.8)) * SQRT(1/E122 + 1/F122)</f>
        <v>1.7718780696593193</v>
      </c>
      <c r="J122" s="2">
        <f t="shared" si="5"/>
        <v>1.6230697858777861</v>
      </c>
      <c r="K122">
        <v>-2.2674326190461858</v>
      </c>
      <c r="L122">
        <f t="shared" si="6"/>
        <v>3.8905024049239718</v>
      </c>
    </row>
    <row r="123" spans="1:12" x14ac:dyDescent="0.8">
      <c r="A123">
        <v>240.99</v>
      </c>
      <c r="B123">
        <v>36</v>
      </c>
      <c r="C123">
        <v>5.1095498823281877</v>
      </c>
      <c r="D123">
        <v>3.6719477120460198</v>
      </c>
      <c r="E123" t="s">
        <v>81</v>
      </c>
      <c r="F123">
        <v>3</v>
      </c>
      <c r="G123" s="4">
        <v>40</v>
      </c>
      <c r="H123" s="2"/>
      <c r="I123" s="6" t="e">
        <f>SQRT(3)/PI()*LN((#REF!/(1-#REF!))/(#REF!/(1-#REF!)))</f>
        <v>#REF!</v>
      </c>
      <c r="J123" s="2" t="e">
        <f t="shared" si="5"/>
        <v>#REF!</v>
      </c>
      <c r="K123">
        <v>-36.76132399080074</v>
      </c>
      <c r="L123" t="e">
        <f t="shared" si="6"/>
        <v>#REF!</v>
      </c>
    </row>
    <row r="124" spans="1:12" x14ac:dyDescent="0.8">
      <c r="A124">
        <v>1105</v>
      </c>
      <c r="B124">
        <v>1108</v>
      </c>
      <c r="C124">
        <v>230.84626919229171</v>
      </c>
      <c r="D124">
        <v>167.60071598892412</v>
      </c>
      <c r="E124" t="s">
        <v>51</v>
      </c>
      <c r="F124">
        <v>10</v>
      </c>
      <c r="G124" s="4">
        <v>15</v>
      </c>
      <c r="H124" s="2"/>
      <c r="I124" s="4">
        <v>2.4</v>
      </c>
      <c r="J124" s="2">
        <f t="shared" si="5"/>
        <v>2.3891140477424933</v>
      </c>
      <c r="K124">
        <v>1.4242381097784222E-2</v>
      </c>
      <c r="L124">
        <f t="shared" si="6"/>
        <v>2.3748716666447089</v>
      </c>
    </row>
    <row r="125" spans="1:12" x14ac:dyDescent="0.8">
      <c r="A125">
        <v>1105</v>
      </c>
      <c r="B125">
        <v>1108</v>
      </c>
      <c r="C125">
        <v>230.84626919229171</v>
      </c>
      <c r="D125">
        <v>167.60071598892412</v>
      </c>
      <c r="E125" t="s">
        <v>51</v>
      </c>
      <c r="F125">
        <v>10</v>
      </c>
      <c r="G125" s="4"/>
      <c r="H125" s="3"/>
      <c r="I125" s="3">
        <f xml:space="preserve"> (_xlfn.NORM.S.INV(1 - 0.05 / 2) + _xlfn.NORM.S.INV(0.8)) * SQRT(1/E125 + 1/F125)</f>
        <v>1.2529069984918344</v>
      </c>
      <c r="J125" s="2">
        <f t="shared" si="5"/>
        <v>1.2472240460882185</v>
      </c>
      <c r="K125">
        <v>1.4242381097784222E-2</v>
      </c>
      <c r="L125">
        <f t="shared" si="6"/>
        <v>1.2329816649904342</v>
      </c>
    </row>
    <row r="126" spans="1:12" x14ac:dyDescent="0.8">
      <c r="A126">
        <v>55</v>
      </c>
      <c r="B126">
        <v>55.7</v>
      </c>
      <c r="C126">
        <v>12.649110640673518</v>
      </c>
      <c r="D126">
        <v>9.170605214488301</v>
      </c>
      <c r="E126" t="s">
        <v>51</v>
      </c>
      <c r="F126">
        <v>10</v>
      </c>
      <c r="G126" s="4"/>
      <c r="H126" s="2"/>
      <c r="I126" s="4">
        <v>0.8</v>
      </c>
      <c r="J126" s="2">
        <f t="shared" si="5"/>
        <v>0.71330238015254821</v>
      </c>
      <c r="K126">
        <v>6.0678430769940742E-2</v>
      </c>
      <c r="L126">
        <f t="shared" si="6"/>
        <v>0.65262394938260748</v>
      </c>
    </row>
    <row r="127" spans="1:12" x14ac:dyDescent="0.8">
      <c r="A127">
        <v>102.2</v>
      </c>
      <c r="B127">
        <v>86.8</v>
      </c>
      <c r="C127">
        <v>7.7893773820505059</v>
      </c>
      <c r="D127">
        <v>11.659571175647926</v>
      </c>
      <c r="E127" t="s">
        <v>57</v>
      </c>
      <c r="F127">
        <v>6</v>
      </c>
      <c r="G127" s="4"/>
      <c r="H127" s="2"/>
      <c r="I127" s="3">
        <f xml:space="preserve"> (_xlfn.NORM.S.INV(1 - 0.05 / 2) + _xlfn.NORM.S.INV(0.8)) * SQRT(1/E127 + 1/F127)</f>
        <v>1.6174959798351987</v>
      </c>
      <c r="J127" s="2">
        <f t="shared" si="5"/>
        <v>1.4885717215208587</v>
      </c>
      <c r="K127">
        <v>-1.4331902980857034</v>
      </c>
      <c r="L127">
        <f t="shared" si="6"/>
        <v>2.9217620196065619</v>
      </c>
    </row>
    <row r="128" spans="1:12" x14ac:dyDescent="0.8">
      <c r="A128">
        <v>119.4</v>
      </c>
      <c r="B128">
        <v>164.6</v>
      </c>
      <c r="C128">
        <v>59.2</v>
      </c>
      <c r="D128">
        <v>59.45082001116554</v>
      </c>
      <c r="E128" t="s">
        <v>659</v>
      </c>
      <c r="F128">
        <v>10</v>
      </c>
      <c r="G128" s="4">
        <v>0.441</v>
      </c>
      <c r="H128" s="2">
        <f>SQRT(((E128 - 1) * C128^2 + (F128 - 1) *D128^2) / (E128 + F128 - 2))</f>
        <v>59.294181839367688</v>
      </c>
      <c r="I128" s="2">
        <f>G128/H128</f>
        <v>7.4374919481088641E-3</v>
      </c>
      <c r="J128" s="2">
        <f t="shared" si="5"/>
        <v>7.3399737838588967E-3</v>
      </c>
      <c r="K128">
        <v>0.73818555537899577</v>
      </c>
      <c r="L128">
        <f t="shared" si="6"/>
        <v>-0.73084558159513691</v>
      </c>
    </row>
    <row r="129" spans="1:12" x14ac:dyDescent="0.8">
      <c r="A129">
        <v>41.9</v>
      </c>
      <c r="B129">
        <v>22</v>
      </c>
      <c r="C129">
        <v>20.050935140287098</v>
      </c>
      <c r="D129">
        <v>7.9372539331937721</v>
      </c>
      <c r="E129" t="s">
        <v>455</v>
      </c>
      <c r="F129">
        <v>7</v>
      </c>
      <c r="G129" s="4"/>
      <c r="H129" s="3"/>
      <c r="I129" s="3">
        <f xml:space="preserve"> (_xlfn.NORM.S.INV(1 - 0.05 / 2) + _xlfn.NORM.S.INV(0.8)) * SQRT(1/E129 + 1/F129)</f>
        <v>1.2386958734351363</v>
      </c>
      <c r="J129" s="2">
        <f t="shared" si="5"/>
        <v>1.0753442953292076</v>
      </c>
      <c r="K129">
        <v>-1.0818596340318751</v>
      </c>
      <c r="L129">
        <f t="shared" si="6"/>
        <v>2.1572039293610827</v>
      </c>
    </row>
    <row r="130" spans="1:12" x14ac:dyDescent="0.8">
      <c r="A130">
        <v>68.319999999999993</v>
      </c>
      <c r="B130">
        <v>30.06</v>
      </c>
      <c r="C130">
        <v>12.467902790766376</v>
      </c>
      <c r="D130">
        <v>13.692647662157963</v>
      </c>
      <c r="E130" t="s">
        <v>57</v>
      </c>
      <c r="F130">
        <v>6</v>
      </c>
      <c r="G130" s="4"/>
      <c r="H130" s="3"/>
      <c r="I130" s="3">
        <f xml:space="preserve"> (_xlfn.NORM.S.INV(1 - 0.05 / 2) + _xlfn.NORM.S.INV(0.8)) * SQRT(1/E130 + 1/F130)</f>
        <v>1.6174959798351987</v>
      </c>
      <c r="J130" s="2">
        <f t="shared" ref="J130:J193" si="7">I130*(1-(3/(4*SUM(D130:E130)-9)))</f>
        <v>1.5114783848961952</v>
      </c>
      <c r="K130">
        <v>-2.6960916507798172</v>
      </c>
      <c r="L130">
        <f t="shared" si="6"/>
        <v>4.207570035676012</v>
      </c>
    </row>
    <row r="131" spans="1:12" x14ac:dyDescent="0.8">
      <c r="A131">
        <v>65.33</v>
      </c>
      <c r="B131">
        <v>49.33</v>
      </c>
      <c r="C131">
        <v>15.120803550076298</v>
      </c>
      <c r="D131">
        <v>17.337828583764459</v>
      </c>
      <c r="E131" t="s">
        <v>81</v>
      </c>
      <c r="F131">
        <v>3</v>
      </c>
      <c r="G131" s="4"/>
      <c r="H131" s="2"/>
      <c r="I131" s="4">
        <v>0.4</v>
      </c>
      <c r="J131" s="2">
        <f t="shared" si="7"/>
        <v>0.38011642309332566</v>
      </c>
      <c r="K131">
        <v>-0.78478215994926626</v>
      </c>
      <c r="L131">
        <f t="shared" ref="L131:L194" si="8">J131-K131</f>
        <v>1.164898583042592</v>
      </c>
    </row>
    <row r="132" spans="1:12" x14ac:dyDescent="0.8">
      <c r="A132">
        <v>23.6</v>
      </c>
      <c r="B132">
        <v>64.599999999999994</v>
      </c>
      <c r="C132">
        <v>22.731264813027888</v>
      </c>
      <c r="D132">
        <v>17.489356763471889</v>
      </c>
      <c r="E132" t="s">
        <v>57</v>
      </c>
      <c r="F132">
        <v>6</v>
      </c>
      <c r="G132" s="4"/>
      <c r="H132" s="3"/>
      <c r="I132" s="3">
        <f xml:space="preserve"> (_xlfn.NORM.S.INV(1 - 0.05 / 2) + _xlfn.NORM.S.INV(0.8)) * SQRT(1/E132 + 1/F132)</f>
        <v>1.6174959798351987</v>
      </c>
      <c r="J132" s="2">
        <f t="shared" si="7"/>
        <v>1.537891439846726</v>
      </c>
      <c r="K132">
        <v>1.865475958886919</v>
      </c>
      <c r="L132">
        <f t="shared" si="8"/>
        <v>-0.32758451904019292</v>
      </c>
    </row>
    <row r="133" spans="1:12" x14ac:dyDescent="0.8">
      <c r="A133">
        <v>49.83</v>
      </c>
      <c r="B133">
        <v>127.33</v>
      </c>
      <c r="C133">
        <v>5.119433562416841</v>
      </c>
      <c r="D133">
        <v>19.203999583420114</v>
      </c>
      <c r="E133" t="s">
        <v>57</v>
      </c>
      <c r="F133">
        <v>6</v>
      </c>
      <c r="G133" s="4"/>
      <c r="H133" s="2"/>
      <c r="I133" s="4">
        <v>0.56000000000000005</v>
      </c>
      <c r="J133" s="2">
        <f t="shared" si="7"/>
        <v>0.5352270844449748</v>
      </c>
      <c r="K133">
        <v>5.0886072210400615</v>
      </c>
      <c r="L133">
        <f t="shared" si="8"/>
        <v>-4.553380136595087</v>
      </c>
    </row>
    <row r="134" spans="1:12" x14ac:dyDescent="0.8">
      <c r="A134">
        <v>106.67</v>
      </c>
      <c r="B134">
        <v>30.5</v>
      </c>
      <c r="C134">
        <v>10.01758453919906</v>
      </c>
      <c r="D134">
        <v>29.426654583897236</v>
      </c>
      <c r="E134" t="s">
        <v>69</v>
      </c>
      <c r="F134">
        <v>5</v>
      </c>
      <c r="G134" s="4">
        <v>10</v>
      </c>
      <c r="H134" s="2"/>
      <c r="I134" s="4">
        <v>3.59</v>
      </c>
      <c r="J134" s="2">
        <f t="shared" si="7"/>
        <v>3.4909259954462768</v>
      </c>
      <c r="K134">
        <v>-3.1281855417593549</v>
      </c>
      <c r="L134">
        <f t="shared" si="8"/>
        <v>6.6191115372056313</v>
      </c>
    </row>
    <row r="135" spans="1:12" x14ac:dyDescent="0.8">
      <c r="A135">
        <v>74.91</v>
      </c>
      <c r="B135">
        <v>97.09</v>
      </c>
      <c r="C135">
        <v>11.586086483364442</v>
      </c>
      <c r="D135">
        <v>11.586086483364406</v>
      </c>
      <c r="E135" t="s">
        <v>57</v>
      </c>
      <c r="F135">
        <v>6</v>
      </c>
      <c r="G135" s="4">
        <v>10</v>
      </c>
      <c r="H135" s="2"/>
      <c r="I135" s="4">
        <v>3.6</v>
      </c>
      <c r="J135" s="2">
        <f t="shared" si="7"/>
        <v>3.310799594154251</v>
      </c>
      <c r="K135">
        <v>1.7664720193487038</v>
      </c>
      <c r="L135">
        <f t="shared" si="8"/>
        <v>1.5443275748055472</v>
      </c>
    </row>
    <row r="136" spans="1:12" x14ac:dyDescent="0.8">
      <c r="A136">
        <v>52.6</v>
      </c>
      <c r="B136">
        <v>55.3</v>
      </c>
      <c r="C136">
        <v>29.18629815512752</v>
      </c>
      <c r="D136">
        <v>15.43178537953402</v>
      </c>
      <c r="E136" t="s">
        <v>308</v>
      </c>
      <c r="F136">
        <v>6</v>
      </c>
      <c r="G136" s="4"/>
      <c r="H136" s="4"/>
      <c r="I136" s="3">
        <f xml:space="preserve"> (_xlfn.NORM.S.INV(1 - 0.05 / 2) + _xlfn.NORM.S.INV(0.8)) * SQRT(1/E136 + 1/F136)</f>
        <v>1.4218583416416619</v>
      </c>
      <c r="J136" s="2">
        <f t="shared" si="7"/>
        <v>1.3409593036489083</v>
      </c>
      <c r="K136">
        <v>0.10071394114557748</v>
      </c>
      <c r="L136">
        <f t="shared" si="8"/>
        <v>1.2402453625033307</v>
      </c>
    </row>
    <row r="137" spans="1:12" x14ac:dyDescent="0.8">
      <c r="A137">
        <v>64</v>
      </c>
      <c r="B137">
        <v>7.33</v>
      </c>
      <c r="C137">
        <v>12.296438508771551</v>
      </c>
      <c r="D137">
        <v>7.8138722794783373</v>
      </c>
      <c r="E137" t="s">
        <v>57</v>
      </c>
      <c r="F137">
        <v>6</v>
      </c>
      <c r="G137" s="4"/>
      <c r="H137" s="4"/>
      <c r="I137" s="3">
        <f xml:space="preserve"> (_xlfn.NORM.S.INV(1 - 0.05 / 2) + _xlfn.NORM.S.INV(0.8)) * SQRT(1/E137 + 1/F137)</f>
        <v>1.6174959798351987</v>
      </c>
      <c r="J137" s="2">
        <f t="shared" si="7"/>
        <v>1.3994604240315811</v>
      </c>
      <c r="K137">
        <v>-5.075947719185657</v>
      </c>
      <c r="L137">
        <f t="shared" si="8"/>
        <v>6.4754081432172379</v>
      </c>
    </row>
    <row r="138" spans="1:12" x14ac:dyDescent="0.8">
      <c r="A138">
        <v>101.16</v>
      </c>
      <c r="B138">
        <v>210.5</v>
      </c>
      <c r="C138">
        <v>3.1108519733346358</v>
      </c>
      <c r="D138">
        <v>5.3888774341229917</v>
      </c>
      <c r="E138" t="s">
        <v>57</v>
      </c>
      <c r="F138">
        <v>6</v>
      </c>
      <c r="G138" s="3"/>
      <c r="H138" s="3">
        <v>3.6</v>
      </c>
      <c r="I138" s="3">
        <f>4.75/H138</f>
        <v>1.3194444444444444</v>
      </c>
      <c r="J138" s="2">
        <f t="shared" si="7"/>
        <v>1.0041778072143657</v>
      </c>
      <c r="K138">
        <v>22.930998267097394</v>
      </c>
      <c r="L138">
        <f t="shared" si="8"/>
        <v>-21.926820459883029</v>
      </c>
    </row>
    <row r="139" spans="1:12" x14ac:dyDescent="0.8">
      <c r="A139">
        <v>55.05</v>
      </c>
      <c r="B139">
        <v>40.299999999999997</v>
      </c>
      <c r="C139">
        <v>14.45198948242075</v>
      </c>
      <c r="D139">
        <v>13.34971909816832</v>
      </c>
      <c r="E139" t="s">
        <v>57</v>
      </c>
      <c r="F139">
        <v>6</v>
      </c>
      <c r="G139" s="3"/>
      <c r="H139" s="3"/>
      <c r="I139" s="4">
        <v>0.4</v>
      </c>
      <c r="J139" s="2">
        <f t="shared" si="7"/>
        <v>0.37297228899697954</v>
      </c>
      <c r="K139">
        <v>-0.97834367964542734</v>
      </c>
      <c r="L139">
        <f t="shared" si="8"/>
        <v>1.3513159686424068</v>
      </c>
    </row>
    <row r="140" spans="1:12" x14ac:dyDescent="0.8">
      <c r="A140">
        <v>145.66999999999999</v>
      </c>
      <c r="B140">
        <v>205.23</v>
      </c>
      <c r="C140">
        <v>11.539982668964457</v>
      </c>
      <c r="D140">
        <v>14.396694064958108</v>
      </c>
      <c r="E140" t="s">
        <v>65</v>
      </c>
      <c r="F140">
        <v>8</v>
      </c>
      <c r="G140" s="3"/>
      <c r="H140" s="3"/>
      <c r="I140" s="3">
        <f xml:space="preserve"> (_xlfn.NORM.S.INV(1 - 0.025 / 2) + _xlfn.NORM.S.INV(0.8)) * SQRT(1/E140 + 1/F140)</f>
        <v>1.5415119805889306</v>
      </c>
      <c r="J140" s="2">
        <f t="shared" si="7"/>
        <v>1.4463310219462806</v>
      </c>
      <c r="K140">
        <v>4.3153494284620146</v>
      </c>
      <c r="L140">
        <f t="shared" si="8"/>
        <v>-2.869018406515734</v>
      </c>
    </row>
    <row r="141" spans="1:12" x14ac:dyDescent="0.8">
      <c r="A141">
        <v>28.45</v>
      </c>
      <c r="B141">
        <v>60.13</v>
      </c>
      <c r="C141">
        <v>11.831035457642749</v>
      </c>
      <c r="D141">
        <v>14.476484379848582</v>
      </c>
      <c r="E141" t="s">
        <v>57</v>
      </c>
      <c r="F141">
        <v>6</v>
      </c>
      <c r="G141" s="3"/>
      <c r="H141" s="3"/>
      <c r="I141" s="3">
        <f xml:space="preserve"> (_xlfn.NORM.S.INV(1 - 0.05 / 2) + _xlfn.NORM.S.INV(0.8)) * SQRT(1/E141 + 1/F141)</f>
        <v>1.6174959798351987</v>
      </c>
      <c r="J141" s="2">
        <f t="shared" si="7"/>
        <v>1.5182751451956158</v>
      </c>
      <c r="K141">
        <v>2.2112226491271736</v>
      </c>
      <c r="L141">
        <f t="shared" si="8"/>
        <v>-0.6929475039315578</v>
      </c>
    </row>
    <row r="142" spans="1:12" x14ac:dyDescent="0.8">
      <c r="A142">
        <v>64.599999999999994</v>
      </c>
      <c r="B142">
        <v>55.6</v>
      </c>
      <c r="C142">
        <v>22.627416997969522</v>
      </c>
      <c r="D142">
        <v>21.213203435596427</v>
      </c>
      <c r="E142" t="s">
        <v>65</v>
      </c>
      <c r="F142">
        <v>8</v>
      </c>
      <c r="G142" s="3"/>
      <c r="H142" s="3"/>
      <c r="I142" s="4">
        <v>0.4</v>
      </c>
      <c r="J142" s="2">
        <f t="shared" si="7"/>
        <v>0.38417988811759196</v>
      </c>
      <c r="K142">
        <v>-0.38791269401986095</v>
      </c>
      <c r="L142">
        <f t="shared" si="8"/>
        <v>0.77209258213745291</v>
      </c>
    </row>
    <row r="143" spans="1:12" x14ac:dyDescent="0.8">
      <c r="A143">
        <v>63.34</v>
      </c>
      <c r="B143">
        <v>17.239999999999998</v>
      </c>
      <c r="C143">
        <v>7.311942286424304</v>
      </c>
      <c r="D143">
        <v>4.874628190949549</v>
      </c>
      <c r="E143" t="s">
        <v>69</v>
      </c>
      <c r="F143">
        <v>5</v>
      </c>
      <c r="G143" s="11">
        <v>10</v>
      </c>
      <c r="H143" s="3">
        <v>1.08</v>
      </c>
      <c r="I143" s="4">
        <v>1.08</v>
      </c>
      <c r="J143" s="2">
        <f t="shared" si="7"/>
        <v>0.77138485870375628</v>
      </c>
      <c r="K143">
        <v>-6.6969613616817449</v>
      </c>
      <c r="L143">
        <f t="shared" si="8"/>
        <v>7.4683462203855013</v>
      </c>
    </row>
    <row r="144" spans="1:12" x14ac:dyDescent="0.8">
      <c r="A144">
        <v>26.81</v>
      </c>
      <c r="B144">
        <v>23.42</v>
      </c>
      <c r="C144">
        <v>9.7045350223490878</v>
      </c>
      <c r="D144">
        <v>9.5883679528895858</v>
      </c>
      <c r="E144" t="s">
        <v>69</v>
      </c>
      <c r="F144">
        <v>8</v>
      </c>
      <c r="G144" s="3">
        <v>50</v>
      </c>
      <c r="H144" s="3"/>
      <c r="I144" s="4">
        <v>1.43</v>
      </c>
      <c r="J144" s="2">
        <f t="shared" si="7"/>
        <v>1.2838503374476216</v>
      </c>
      <c r="K144">
        <v>-0.32734276580815097</v>
      </c>
      <c r="L144">
        <f t="shared" si="8"/>
        <v>1.6111931032557725</v>
      </c>
    </row>
    <row r="145" spans="1:12" x14ac:dyDescent="0.8">
      <c r="A145">
        <v>12.8</v>
      </c>
      <c r="B145">
        <v>24.8</v>
      </c>
      <c r="C145">
        <v>10.532805893967664</v>
      </c>
      <c r="D145">
        <v>12.24744871391589</v>
      </c>
      <c r="E145" t="s">
        <v>57</v>
      </c>
      <c r="F145">
        <v>6</v>
      </c>
      <c r="G145" s="3">
        <v>25</v>
      </c>
      <c r="H145" s="3"/>
      <c r="I145" s="3">
        <f>25/15</f>
        <v>1.6666666666666667</v>
      </c>
      <c r="J145" s="2">
        <f t="shared" si="7"/>
        <v>1.5416347674522133</v>
      </c>
      <c r="K145">
        <v>0.96941090678898312</v>
      </c>
      <c r="L145">
        <f t="shared" si="8"/>
        <v>0.57222386066323017</v>
      </c>
    </row>
    <row r="146" spans="1:12" x14ac:dyDescent="0.8">
      <c r="A146">
        <v>65.41</v>
      </c>
      <c r="B146">
        <v>81.88</v>
      </c>
      <c r="C146">
        <v>14.622968234937803</v>
      </c>
      <c r="D146">
        <v>19.28987299076902</v>
      </c>
      <c r="E146" t="s">
        <v>65</v>
      </c>
      <c r="F146">
        <v>8</v>
      </c>
      <c r="G146" s="3"/>
      <c r="H146" s="3" t="s">
        <v>1207</v>
      </c>
      <c r="I146" s="3">
        <v>0.75</v>
      </c>
      <c r="J146" s="2">
        <f t="shared" si="7"/>
        <v>0.71698919057056809</v>
      </c>
      <c r="K146">
        <v>0.90959821995510459</v>
      </c>
      <c r="L146">
        <f t="shared" si="8"/>
        <v>-0.1926090293845365</v>
      </c>
    </row>
    <row r="147" spans="1:12" x14ac:dyDescent="0.8">
      <c r="A147">
        <v>29.33</v>
      </c>
      <c r="B147">
        <v>16.5</v>
      </c>
      <c r="C147">
        <v>10.385836509400674</v>
      </c>
      <c r="D147">
        <v>4.8744845881385244</v>
      </c>
      <c r="E147" t="s">
        <v>57</v>
      </c>
      <c r="F147">
        <v>6</v>
      </c>
      <c r="G147" s="3"/>
      <c r="H147" s="3"/>
      <c r="I147" s="3">
        <f xml:space="preserve"> (_xlfn.NORM.S.INV(1 - 0.05 / 2) + _xlfn.NORM.S.INV(0.8)) * SQRT(1/E147 + 1/F147)</f>
        <v>1.6174959798351987</v>
      </c>
      <c r="J147" s="2">
        <f t="shared" si="7"/>
        <v>1.1552635131790188</v>
      </c>
      <c r="K147">
        <v>-1.4593265009732967</v>
      </c>
      <c r="L147">
        <f t="shared" si="8"/>
        <v>2.6145900141523155</v>
      </c>
    </row>
    <row r="148" spans="1:12" x14ac:dyDescent="0.8">
      <c r="A148">
        <v>27.31</v>
      </c>
      <c r="B148">
        <v>20.18</v>
      </c>
      <c r="C148">
        <v>12.841059146347703</v>
      </c>
      <c r="D148">
        <v>6.8165093706383191</v>
      </c>
      <c r="E148" t="s">
        <v>65</v>
      </c>
      <c r="F148">
        <v>8</v>
      </c>
      <c r="G148" s="3">
        <v>19.170000000000002</v>
      </c>
      <c r="H148" s="3"/>
      <c r="I148" s="3">
        <v>1.95</v>
      </c>
      <c r="J148" s="2">
        <f t="shared" si="7"/>
        <v>1.6297334941643693</v>
      </c>
      <c r="K148">
        <v>-0.65563120179949186</v>
      </c>
      <c r="L148">
        <f t="shared" si="8"/>
        <v>2.2853646959638612</v>
      </c>
    </row>
    <row r="149" spans="1:12" x14ac:dyDescent="0.8">
      <c r="A149">
        <v>33.33</v>
      </c>
      <c r="B149">
        <v>51.67</v>
      </c>
      <c r="C149">
        <v>13.91310173900845</v>
      </c>
      <c r="D149">
        <v>18.738596532291311</v>
      </c>
      <c r="E149" t="s">
        <v>57</v>
      </c>
      <c r="F149">
        <v>6</v>
      </c>
      <c r="G149" s="3">
        <v>4</v>
      </c>
      <c r="H149" s="2">
        <f>SQRT(((E149 - 1) * C149^2 + (F149 - 1) *D149^2) / (E149 + F149 - 2))</f>
        <v>16.503172422295055</v>
      </c>
      <c r="I149" s="2">
        <f>G149/H149</f>
        <v>0.24237764095563694</v>
      </c>
      <c r="J149" s="2">
        <f t="shared" si="7"/>
        <v>0.23135285601649896</v>
      </c>
      <c r="K149">
        <v>1.0254485633823462</v>
      </c>
      <c r="L149">
        <f t="shared" si="8"/>
        <v>-0.79409570736584723</v>
      </c>
    </row>
    <row r="150" spans="1:12" x14ac:dyDescent="0.8">
      <c r="A150">
        <v>24</v>
      </c>
      <c r="B150">
        <v>15</v>
      </c>
      <c r="C150">
        <v>4.5070611267210472</v>
      </c>
      <c r="D150">
        <v>6.9810457669320574</v>
      </c>
      <c r="E150" t="s">
        <v>57</v>
      </c>
      <c r="F150">
        <v>6</v>
      </c>
      <c r="G150" s="3">
        <v>633.9</v>
      </c>
      <c r="H150" s="2">
        <f>SQRT(((E150 - 1) * C150^2 + (F150 - 1) *D150^2) / (E150 + F150 - 2))</f>
        <v>5.8757382514880625</v>
      </c>
      <c r="I150" s="2">
        <f>G150/H150</f>
        <v>107.88431561590774</v>
      </c>
      <c r="J150" s="2">
        <f t="shared" si="7"/>
        <v>90.781704333328534</v>
      </c>
      <c r="K150">
        <v>-1.4133901336354746</v>
      </c>
      <c r="L150">
        <f t="shared" si="8"/>
        <v>92.195094466964008</v>
      </c>
    </row>
    <row r="151" spans="1:12" x14ac:dyDescent="0.8">
      <c r="A151">
        <v>10.5</v>
      </c>
      <c r="B151">
        <v>14.83</v>
      </c>
      <c r="C151">
        <v>2.9068883707497268</v>
      </c>
      <c r="D151">
        <v>3.5777087639996639</v>
      </c>
      <c r="E151" t="s">
        <v>69</v>
      </c>
      <c r="F151">
        <v>5</v>
      </c>
      <c r="G151" s="3">
        <v>6.2</v>
      </c>
      <c r="H151" s="2">
        <f>SQRT(((E151 - 1) * C151^2 + (F151 - 1) *D151^2) / (E151 + F151 - 2))</f>
        <v>3.2596012026013246</v>
      </c>
      <c r="I151" s="3" t="s">
        <v>707</v>
      </c>
      <c r="J151" s="2" t="e">
        <f t="shared" si="7"/>
        <v>#VALUE!</v>
      </c>
      <c r="K151">
        <v>1.1991360880893995</v>
      </c>
      <c r="L151" t="e">
        <f t="shared" si="8"/>
        <v>#VALUE!</v>
      </c>
    </row>
    <row r="152" spans="1:12" x14ac:dyDescent="0.8">
      <c r="A152">
        <v>5.04</v>
      </c>
      <c r="B152">
        <v>11.8</v>
      </c>
      <c r="C152">
        <v>1.9595917942265424</v>
      </c>
      <c r="D152">
        <v>2.1310560762213648</v>
      </c>
      <c r="E152" t="s">
        <v>57</v>
      </c>
      <c r="F152">
        <v>6</v>
      </c>
      <c r="G152" s="3"/>
      <c r="H152" s="3"/>
      <c r="I152" s="3">
        <f xml:space="preserve"> (_xlfn.NORM.S.INV(1 - 0.05 / 2) + _xlfn.NORM.S.INV(0.8)) * SQRT(1/E152 + 1/F152)</f>
        <v>1.6174959798351987</v>
      </c>
      <c r="J152" s="2">
        <f t="shared" si="7"/>
        <v>11.816604486917267</v>
      </c>
      <c r="K152">
        <v>3.0470908053962011</v>
      </c>
      <c r="L152">
        <f t="shared" si="8"/>
        <v>8.7695136815210653</v>
      </c>
    </row>
    <row r="153" spans="1:12" x14ac:dyDescent="0.8">
      <c r="A153">
        <v>12.06</v>
      </c>
      <c r="B153">
        <v>14.09</v>
      </c>
      <c r="C153">
        <v>5.5023631286929806</v>
      </c>
      <c r="D153">
        <v>4.525483399593905</v>
      </c>
      <c r="E153" t="s">
        <v>51</v>
      </c>
      <c r="F153">
        <v>8</v>
      </c>
      <c r="G153" s="3"/>
      <c r="H153" s="3"/>
      <c r="I153" s="3">
        <f xml:space="preserve"> (_xlfn.NORM.S.INV(1 - 0.05 / 2) + _xlfn.NORM.S.INV(0.8)) * SQRT(1/E153 + 1/F153)</f>
        <v>1.3289085522444894</v>
      </c>
      <c r="J153" s="2">
        <f t="shared" si="7"/>
        <v>0.89089990126455254</v>
      </c>
      <c r="K153">
        <v>0.37917835636557218</v>
      </c>
      <c r="L153">
        <f t="shared" si="8"/>
        <v>0.51172154489898036</v>
      </c>
    </row>
    <row r="154" spans="1:12" x14ac:dyDescent="0.8">
      <c r="A154">
        <v>26.33</v>
      </c>
      <c r="B154">
        <v>65.5</v>
      </c>
      <c r="C154">
        <v>1.2521980673998825</v>
      </c>
      <c r="D154">
        <v>2.6832815729997477</v>
      </c>
      <c r="E154" t="s">
        <v>69</v>
      </c>
      <c r="F154">
        <v>5</v>
      </c>
      <c r="G154" s="3"/>
      <c r="H154" s="3"/>
      <c r="I154" s="6" t="e">
        <f>SQRT(3)/PI()*LN((#REF!/(1-#REF!))/(#REF!/(1-#REF!)))</f>
        <v>#REF!</v>
      </c>
      <c r="J154" s="2" t="e">
        <f t="shared" si="7"/>
        <v>#REF!</v>
      </c>
      <c r="K154">
        <v>16.887421572767746</v>
      </c>
      <c r="L154" t="e">
        <f t="shared" si="8"/>
        <v>#REF!</v>
      </c>
    </row>
    <row r="155" spans="1:12" x14ac:dyDescent="0.8">
      <c r="A155">
        <v>55.66</v>
      </c>
      <c r="B155">
        <v>71.2</v>
      </c>
      <c r="C155">
        <v>14.534441853748634</v>
      </c>
      <c r="D155">
        <v>4.1590864381496093</v>
      </c>
      <c r="E155" t="s">
        <v>92</v>
      </c>
      <c r="F155">
        <v>20</v>
      </c>
      <c r="G155" s="3"/>
      <c r="H155" s="3"/>
      <c r="I155" s="3">
        <f xml:space="preserve"> (_xlfn.NORM.S.INV(1 - 0.05 / 2) + _xlfn.NORM.S.INV(0.8)) * SQRT(1/E155 + 1/F155)</f>
        <v>0.88593903482965963</v>
      </c>
      <c r="J155" s="2">
        <f t="shared" si="7"/>
        <v>0.53789074175903784</v>
      </c>
      <c r="K155">
        <v>1.4247947237468908</v>
      </c>
      <c r="L155">
        <f t="shared" si="8"/>
        <v>-0.88690398198785292</v>
      </c>
    </row>
    <row r="156" spans="1:12" x14ac:dyDescent="0.8">
      <c r="A156">
        <v>20.43</v>
      </c>
      <c r="B156">
        <v>3.43</v>
      </c>
      <c r="C156">
        <v>1.6139082997494003</v>
      </c>
      <c r="D156">
        <v>2.2224311012942559</v>
      </c>
      <c r="E156" t="s">
        <v>78</v>
      </c>
      <c r="F156">
        <v>7</v>
      </c>
      <c r="G156" s="3" t="e">
        <f>#REF!-#REF!</f>
        <v>#REF!</v>
      </c>
      <c r="H156" s="2">
        <f>SQRT(((E156 - 1) * C156^2 + (F156 - 1) *D156^2) / (E156 + F156 - 2))</f>
        <v>1.942150869525846</v>
      </c>
      <c r="I156" s="2" t="e">
        <f>G156/H156</f>
        <v>#REF!</v>
      </c>
      <c r="J156" s="2" t="e">
        <f t="shared" si="7"/>
        <v>#REF!</v>
      </c>
      <c r="K156">
        <v>-8.1924691016895927</v>
      </c>
      <c r="L156" t="e">
        <f t="shared" si="8"/>
        <v>#REF!</v>
      </c>
    </row>
    <row r="157" spans="1:12" x14ac:dyDescent="0.8">
      <c r="A157">
        <v>36.96</v>
      </c>
      <c r="B157">
        <v>22.06</v>
      </c>
      <c r="C157">
        <v>3.0161564946136332</v>
      </c>
      <c r="D157">
        <v>6.8260383825466446</v>
      </c>
      <c r="E157" t="s">
        <v>78</v>
      </c>
      <c r="F157">
        <v>7</v>
      </c>
      <c r="G157" s="3"/>
      <c r="H157" s="3"/>
      <c r="I157" s="3">
        <f xml:space="preserve"> (_xlfn.NORM.S.INV(1 - 0.05 / 2) + _xlfn.NORM.S.INV(0.8)) * SQRT(1/E157 + 1/F157)</f>
        <v>1.4975102894327246</v>
      </c>
      <c r="J157" s="2">
        <f t="shared" si="7"/>
        <v>1.2520725060963225</v>
      </c>
      <c r="K157">
        <v>-2.6427355893627968</v>
      </c>
      <c r="L157">
        <f t="shared" si="8"/>
        <v>3.8948080954591191</v>
      </c>
    </row>
    <row r="158" spans="1:12" x14ac:dyDescent="0.8">
      <c r="A158">
        <v>10.5</v>
      </c>
      <c r="B158">
        <v>14.83</v>
      </c>
      <c r="C158">
        <v>26</v>
      </c>
      <c r="D158">
        <v>3.2</v>
      </c>
      <c r="E158" t="s">
        <v>692</v>
      </c>
      <c r="F158">
        <v>4</v>
      </c>
      <c r="G158" s="3">
        <v>25</v>
      </c>
      <c r="H158" s="3">
        <v>15</v>
      </c>
      <c r="I158" s="3">
        <f>G158/H158</f>
        <v>1.6666666666666667</v>
      </c>
      <c r="J158" s="2">
        <f t="shared" si="7"/>
        <v>0.35087719298245634</v>
      </c>
      <c r="K158">
        <v>0.20304768778390705</v>
      </c>
      <c r="L158">
        <f t="shared" si="8"/>
        <v>0.14782950519854929</v>
      </c>
    </row>
    <row r="159" spans="1:12" x14ac:dyDescent="0.8">
      <c r="A159">
        <v>25.49</v>
      </c>
      <c r="B159">
        <v>72.540000000000006</v>
      </c>
      <c r="C159">
        <v>7.2014998437825426</v>
      </c>
      <c r="D159">
        <v>4.8009998958550284</v>
      </c>
      <c r="E159" t="s">
        <v>57</v>
      </c>
      <c r="F159">
        <v>6</v>
      </c>
      <c r="G159" s="3"/>
      <c r="H159" s="3"/>
      <c r="I159" s="3" t="e">
        <f>#REF!/#REF!</f>
        <v>#REF!</v>
      </c>
      <c r="J159" s="2" t="e">
        <f t="shared" si="7"/>
        <v>#REF!</v>
      </c>
      <c r="K159">
        <v>7.0938701612747508</v>
      </c>
      <c r="L159" t="e">
        <f t="shared" si="8"/>
        <v>#REF!</v>
      </c>
    </row>
    <row r="160" spans="1:12" x14ac:dyDescent="0.8">
      <c r="A160">
        <v>31.88</v>
      </c>
      <c r="B160">
        <v>41.5</v>
      </c>
      <c r="C160">
        <v>5.8787753826796267</v>
      </c>
      <c r="D160">
        <v>9.4795253045708989</v>
      </c>
      <c r="E160" t="s">
        <v>57</v>
      </c>
      <c r="F160">
        <v>6</v>
      </c>
      <c r="G160" s="3"/>
      <c r="H160" s="3"/>
      <c r="I160" s="3">
        <f xml:space="preserve"> (_xlfn.NORM.S.INV(1 - 0.05 / 2) + _xlfn.NORM.S.INV(0.8)) * SQRT(1/E160 + 1/F160)</f>
        <v>1.6174959798351987</v>
      </c>
      <c r="J160" s="2">
        <f t="shared" si="7"/>
        <v>1.4496949232278724</v>
      </c>
      <c r="K160">
        <v>1.125445618577003</v>
      </c>
      <c r="L160">
        <f t="shared" si="8"/>
        <v>0.32424930465086943</v>
      </c>
    </row>
    <row r="161" spans="1:12" x14ac:dyDescent="0.8">
      <c r="A161">
        <v>19.440000000000001</v>
      </c>
      <c r="B161">
        <v>25.05</v>
      </c>
      <c r="C161">
        <v>0</v>
      </c>
      <c r="D161">
        <v>2.9698484809835</v>
      </c>
      <c r="E161" t="s">
        <v>65</v>
      </c>
      <c r="F161">
        <v>8</v>
      </c>
      <c r="G161" s="3"/>
      <c r="H161" s="3"/>
      <c r="I161" s="6" t="e">
        <f>SQRT(3)/PI()*LN((#REF!/(1-#REF!))/(#REF!/(1-#REF!)))</f>
        <v>#REF!</v>
      </c>
      <c r="J161" s="2" t="e">
        <f t="shared" si="7"/>
        <v>#REF!</v>
      </c>
      <c r="K161">
        <v>2.5252686482910507</v>
      </c>
      <c r="L161" t="e">
        <f t="shared" si="8"/>
        <v>#REF!</v>
      </c>
    </row>
    <row r="162" spans="1:12" x14ac:dyDescent="0.8">
      <c r="A162">
        <v>21</v>
      </c>
      <c r="B162">
        <v>51.22</v>
      </c>
      <c r="C162">
        <v>5.4378672289786554</v>
      </c>
      <c r="D162">
        <v>3.233326460473795</v>
      </c>
      <c r="E162" t="s">
        <v>57</v>
      </c>
      <c r="F162">
        <v>6</v>
      </c>
      <c r="G162" s="3"/>
      <c r="H162" s="3"/>
      <c r="I162" s="3">
        <f xml:space="preserve"> (_xlfn.NORM.S.INV(1 - 0.05 / 2) + _xlfn.NORM.S.INV(0.8)) * SQRT(1/E162 + 1/F162)</f>
        <v>1.6174959798351987</v>
      </c>
      <c r="J162" s="2">
        <f t="shared" si="7"/>
        <v>0.3838039826810879</v>
      </c>
      <c r="K162">
        <v>6.2334267356955291</v>
      </c>
      <c r="L162">
        <f t="shared" si="8"/>
        <v>-5.8496227530144411</v>
      </c>
    </row>
    <row r="163" spans="1:12" x14ac:dyDescent="0.8">
      <c r="A163">
        <v>10.5</v>
      </c>
      <c r="B163">
        <v>14.83</v>
      </c>
      <c r="C163">
        <v>3.1843366656181313</v>
      </c>
      <c r="D163">
        <v>3.9191835884530848</v>
      </c>
      <c r="E163" t="s">
        <v>57</v>
      </c>
      <c r="F163">
        <v>6</v>
      </c>
      <c r="G163" s="3"/>
      <c r="H163" s="3"/>
      <c r="I163" s="3">
        <f xml:space="preserve"> (_xlfn.NORM.S.INV(1 - 0.05 / 2) + _xlfn.NORM.S.INV(0.8)) * SQRT(1/E163 + 1/F163)</f>
        <v>1.6174959798351987</v>
      </c>
      <c r="J163" s="2">
        <f t="shared" si="7"/>
        <v>0.89072033138740914</v>
      </c>
      <c r="K163">
        <v>1.1189605897051924</v>
      </c>
      <c r="L163">
        <f t="shared" si="8"/>
        <v>-0.22824025831778327</v>
      </c>
    </row>
    <row r="164" spans="1:12" x14ac:dyDescent="0.8">
      <c r="A164">
        <v>26.08</v>
      </c>
      <c r="B164">
        <v>7.87</v>
      </c>
      <c r="C164">
        <v>4.9234743829941872</v>
      </c>
      <c r="D164">
        <v>7.3484692283495336</v>
      </c>
      <c r="E164" t="s">
        <v>57</v>
      </c>
      <c r="F164">
        <v>6</v>
      </c>
      <c r="G164" s="8"/>
      <c r="H164" s="8"/>
      <c r="I164" s="8" t="s">
        <v>220</v>
      </c>
      <c r="J164" s="2" t="e">
        <f t="shared" si="7"/>
        <v>#VALUE!</v>
      </c>
      <c r="K164">
        <v>-2.6865247398688865</v>
      </c>
      <c r="L164" t="e">
        <f t="shared" si="8"/>
        <v>#VALUE!</v>
      </c>
    </row>
    <row r="165" spans="1:12" x14ac:dyDescent="0.8">
      <c r="A165">
        <v>12.34</v>
      </c>
      <c r="B165">
        <v>49.67</v>
      </c>
      <c r="C165">
        <v>0.82024386617639511</v>
      </c>
      <c r="D165">
        <v>7.0993520831129366</v>
      </c>
      <c r="E165" t="s">
        <v>65</v>
      </c>
      <c r="F165">
        <v>8</v>
      </c>
      <c r="G165" s="3">
        <v>20</v>
      </c>
      <c r="H165" s="3"/>
      <c r="I165" s="3">
        <v>0.73</v>
      </c>
      <c r="J165" s="2">
        <f t="shared" si="7"/>
        <v>0.61709831940094062</v>
      </c>
      <c r="K165">
        <v>6.9829474331455961</v>
      </c>
      <c r="L165">
        <f t="shared" si="8"/>
        <v>-6.3658491137446553</v>
      </c>
    </row>
    <row r="166" spans="1:12" x14ac:dyDescent="0.8">
      <c r="A166">
        <v>11.37</v>
      </c>
      <c r="B166">
        <v>27.25</v>
      </c>
      <c r="C166">
        <v>4.6103362133362902</v>
      </c>
      <c r="D166">
        <v>6.0245497757093851</v>
      </c>
      <c r="E166" t="s">
        <v>65</v>
      </c>
      <c r="F166">
        <v>8</v>
      </c>
      <c r="G166" s="3" t="e">
        <f>#REF!-#REF!</f>
        <v>#REF!</v>
      </c>
      <c r="H166" s="2">
        <f>SQRT(((E166 - 1) * C166^2 + (F166 - 1) *D166^2) / (E166 + F166 - 2))</f>
        <v>5.3642520447868591</v>
      </c>
      <c r="I166" s="2" t="e">
        <f>G166/H166</f>
        <v>#REF!</v>
      </c>
      <c r="J166" s="2" t="e">
        <f t="shared" si="7"/>
        <v>#REF!</v>
      </c>
      <c r="K166">
        <v>2.7983713323053965</v>
      </c>
      <c r="L166" t="e">
        <f t="shared" si="8"/>
        <v>#REF!</v>
      </c>
    </row>
    <row r="167" spans="1:12" x14ac:dyDescent="0.8">
      <c r="A167">
        <v>8.98</v>
      </c>
      <c r="B167">
        <v>29.54</v>
      </c>
      <c r="C167">
        <v>2.0085815890822056</v>
      </c>
      <c r="D167">
        <v>3.9681733833087485</v>
      </c>
      <c r="E167" t="s">
        <v>57</v>
      </c>
      <c r="F167">
        <v>6</v>
      </c>
      <c r="G167" s="3"/>
      <c r="H167" s="3"/>
      <c r="I167" s="3">
        <f xml:space="preserve"> (_xlfn.NORM.S.INV(1 - 0.05 / 2) + _xlfn.NORM.S.INV(0.8)) * SQRT(1/E167 + 1/F167)</f>
        <v>1.6174959798351987</v>
      </c>
      <c r="J167" s="2">
        <f t="shared" si="7"/>
        <v>0.91144268122091887</v>
      </c>
      <c r="K167">
        <v>6.0325116457710566</v>
      </c>
      <c r="L167">
        <f t="shared" si="8"/>
        <v>-5.1210689645501377</v>
      </c>
    </row>
    <row r="168" spans="1:12" x14ac:dyDescent="0.8">
      <c r="A168">
        <v>5.35</v>
      </c>
      <c r="B168">
        <v>18.03</v>
      </c>
      <c r="C168">
        <v>2.3475945135393377</v>
      </c>
      <c r="D168">
        <v>5.6568542494923806</v>
      </c>
      <c r="E168" t="s">
        <v>65</v>
      </c>
      <c r="F168">
        <v>8</v>
      </c>
      <c r="G168" s="3">
        <v>30</v>
      </c>
      <c r="H168" s="2">
        <f>SQRT(((E168 - 1) * C168^2 + (F168 - 1) *D168^2) / (E168 + F168 - 2))</f>
        <v>4.3307736029490167</v>
      </c>
      <c r="I168" s="2">
        <f>G168/H168</f>
        <v>6.9271688502884716</v>
      </c>
      <c r="J168" s="2">
        <f t="shared" si="7"/>
        <v>5.4021911854850941</v>
      </c>
      <c r="K168">
        <v>2.7676922200339424</v>
      </c>
      <c r="L168">
        <f t="shared" si="8"/>
        <v>2.6344989654511517</v>
      </c>
    </row>
    <row r="169" spans="1:12" x14ac:dyDescent="0.8">
      <c r="A169">
        <v>12.74</v>
      </c>
      <c r="B169">
        <v>37.06</v>
      </c>
      <c r="C169">
        <v>1.4424978336205572</v>
      </c>
      <c r="D169">
        <v>5.4871486220076093</v>
      </c>
      <c r="E169" t="s">
        <v>65</v>
      </c>
      <c r="F169">
        <v>8</v>
      </c>
      <c r="G169" s="3">
        <v>140</v>
      </c>
      <c r="H169" s="2">
        <f>SQRT(((E169 - 1) * C169^2 + (F169 - 1) *D169^2) / (E169 + F169 - 2))</f>
        <v>4.0118324989959389</v>
      </c>
      <c r="I169" s="2">
        <f>G169/H169</f>
        <v>34.896770998051011</v>
      </c>
      <c r="J169" s="2">
        <f t="shared" si="7"/>
        <v>26.81169944137142</v>
      </c>
      <c r="K169">
        <v>5.730398161562154</v>
      </c>
      <c r="L169">
        <f t="shared" si="8"/>
        <v>21.081301279809267</v>
      </c>
    </row>
    <row r="170" spans="1:12" x14ac:dyDescent="0.8">
      <c r="A170">
        <v>24.2</v>
      </c>
      <c r="B170">
        <v>24.15</v>
      </c>
      <c r="C170">
        <v>9.6449364953845098</v>
      </c>
      <c r="D170">
        <v>12.133952365161157</v>
      </c>
      <c r="E170" t="s">
        <v>65</v>
      </c>
      <c r="F170">
        <v>8</v>
      </c>
      <c r="G170" s="3"/>
      <c r="H170" s="3"/>
      <c r="I170" s="3">
        <f xml:space="preserve"> (_xlfn.NORM.S.INV(1 - 0.05 / 2) + _xlfn.NORM.S.INV(0.8)) * SQRT(1/E170 + 1/F170)</f>
        <v>1.4007926090564842</v>
      </c>
      <c r="J170" s="2">
        <f t="shared" si="7"/>
        <v>1.2944996588298636</v>
      </c>
      <c r="K170">
        <v>-4.312314784015025E-3</v>
      </c>
      <c r="L170">
        <f t="shared" si="8"/>
        <v>1.2988119736138786</v>
      </c>
    </row>
    <row r="171" spans="1:12" x14ac:dyDescent="0.8">
      <c r="A171">
        <v>11.97</v>
      </c>
      <c r="B171">
        <v>21.12</v>
      </c>
      <c r="C171">
        <v>4.1814471179246073</v>
      </c>
      <c r="D171">
        <v>5.2547597471245062</v>
      </c>
      <c r="E171" t="s">
        <v>69</v>
      </c>
      <c r="F171">
        <v>5</v>
      </c>
      <c r="G171" s="3"/>
      <c r="H171" s="3"/>
      <c r="I171" s="3">
        <f xml:space="preserve"> (_xlfn.NORM.S.INV(1 - 0.05 / 2) + _xlfn.NORM.S.INV(0.8)) * SQRT(1/E171 + 1/F171)</f>
        <v>1.7718780696593193</v>
      </c>
      <c r="J171" s="2">
        <f t="shared" si="7"/>
        <v>1.3296102465775477</v>
      </c>
      <c r="K171">
        <v>1.7394314260068751</v>
      </c>
      <c r="L171">
        <f t="shared" si="8"/>
        <v>-0.40982117942932739</v>
      </c>
    </row>
    <row r="172" spans="1:12" x14ac:dyDescent="0.8">
      <c r="A172">
        <v>42.4</v>
      </c>
      <c r="B172">
        <v>12.2</v>
      </c>
      <c r="C172">
        <v>2.9092954473549093</v>
      </c>
      <c r="D172">
        <v>1.83412104289766</v>
      </c>
      <c r="E172" t="s">
        <v>51</v>
      </c>
      <c r="F172">
        <v>10</v>
      </c>
      <c r="G172" s="3"/>
      <c r="H172" s="3"/>
      <c r="I172" s="3">
        <f xml:space="preserve"> (_xlfn.NORM.S.INV(1 - 0.05 / 2) + _xlfn.NORM.S.INV(0.8)) * SQRT(1/E172 + 1/F172)</f>
        <v>1.2529069984918344</v>
      </c>
      <c r="J172" s="2">
        <f t="shared" si="7"/>
        <v>3.5124111951363353</v>
      </c>
      <c r="K172">
        <v>-11.892453870479649</v>
      </c>
      <c r="L172">
        <f t="shared" si="8"/>
        <v>15.404865065615985</v>
      </c>
    </row>
    <row r="173" spans="1:12" x14ac:dyDescent="0.8">
      <c r="A173">
        <v>5.2</v>
      </c>
      <c r="B173">
        <v>2.4</v>
      </c>
      <c r="C173">
        <v>0.82734515167492217</v>
      </c>
      <c r="D173">
        <v>0.89442719099991597</v>
      </c>
      <c r="E173" t="s">
        <v>69</v>
      </c>
      <c r="F173">
        <v>5</v>
      </c>
      <c r="G173" s="3"/>
      <c r="H173" s="3"/>
      <c r="I173" s="3">
        <v>1.53</v>
      </c>
      <c r="J173" s="2">
        <f t="shared" si="7"/>
        <v>2.3765056191606813</v>
      </c>
      <c r="K173">
        <v>-2.9337829109575706</v>
      </c>
      <c r="L173">
        <f t="shared" si="8"/>
        <v>5.3102885301182514</v>
      </c>
    </row>
    <row r="174" spans="1:12" x14ac:dyDescent="0.8">
      <c r="A174">
        <v>30</v>
      </c>
      <c r="B174">
        <v>62.8</v>
      </c>
      <c r="C174">
        <v>1.5652475842498528</v>
      </c>
      <c r="D174">
        <v>1.6323296235748466</v>
      </c>
      <c r="E174" t="s">
        <v>69</v>
      </c>
      <c r="F174">
        <v>5</v>
      </c>
      <c r="G174" s="3"/>
      <c r="H174" s="3"/>
      <c r="I174" s="3">
        <f xml:space="preserve"> (_xlfn.NORM.S.INV(1 - 0.05 / 2) + _xlfn.NORM.S.INV(0.8)) * SQRT(1/E174 + 1/F174)</f>
        <v>1.7718780696593193</v>
      </c>
      <c r="J174" s="2">
        <f t="shared" si="7"/>
        <v>3.923363073579563</v>
      </c>
      <c r="K174">
        <v>18.515365789065047</v>
      </c>
      <c r="L174">
        <f t="shared" si="8"/>
        <v>-14.592002715485485</v>
      </c>
    </row>
    <row r="175" spans="1:12" x14ac:dyDescent="0.8">
      <c r="A175">
        <v>44.67</v>
      </c>
      <c r="B175">
        <v>30.86</v>
      </c>
      <c r="C175">
        <v>10.95</v>
      </c>
      <c r="D175">
        <v>7.2900000000000009</v>
      </c>
      <c r="E175" t="s">
        <v>219</v>
      </c>
      <c r="F175">
        <v>9</v>
      </c>
      <c r="G175" s="3"/>
      <c r="H175" s="3"/>
      <c r="I175" s="3">
        <f xml:space="preserve"> (_xlfn.NORM.S.INV(1 - 0.05 / 2) + _xlfn.NORM.S.INV(0.8)) * SQRT(1/E175 + 1/F175)</f>
        <v>1.3206799371997817</v>
      </c>
      <c r="J175" s="2">
        <f t="shared" si="7"/>
        <v>1.1241501846402906</v>
      </c>
      <c r="K175">
        <v>-1.4137736119794697</v>
      </c>
      <c r="L175">
        <f t="shared" si="8"/>
        <v>2.5379237966197605</v>
      </c>
    </row>
    <row r="176" spans="1:12" x14ac:dyDescent="0.8">
      <c r="A176">
        <v>17.55</v>
      </c>
      <c r="B176">
        <v>5.51</v>
      </c>
      <c r="C176">
        <v>2.2807893370497858</v>
      </c>
      <c r="D176">
        <v>1.6546903033498443</v>
      </c>
      <c r="E176" t="s">
        <v>69</v>
      </c>
      <c r="F176">
        <v>5</v>
      </c>
      <c r="G176" s="4"/>
      <c r="H176" s="4"/>
      <c r="I176" s="4">
        <v>1.23</v>
      </c>
      <c r="J176" s="2">
        <f t="shared" si="7"/>
        <v>2.7796135964036268</v>
      </c>
      <c r="K176">
        <v>-5.4547679468745311</v>
      </c>
      <c r="L176">
        <f t="shared" si="8"/>
        <v>8.2343815432781575</v>
      </c>
    </row>
    <row r="177" spans="1:12" x14ac:dyDescent="0.8">
      <c r="A177">
        <v>18.22</v>
      </c>
      <c r="B177">
        <v>21.58</v>
      </c>
      <c r="C177">
        <v>2.38</v>
      </c>
      <c r="D177">
        <v>3.23</v>
      </c>
      <c r="E177" t="s">
        <v>51</v>
      </c>
      <c r="F177">
        <v>10</v>
      </c>
      <c r="G177" s="4"/>
      <c r="H177" s="4"/>
      <c r="I177" s="4">
        <f>0.613*2</f>
        <v>1.226</v>
      </c>
      <c r="J177" s="2">
        <f t="shared" si="7"/>
        <v>0.28773469387755107</v>
      </c>
      <c r="K177">
        <v>1.1341825180315077</v>
      </c>
      <c r="L177">
        <f t="shared" si="8"/>
        <v>-0.84644782415395659</v>
      </c>
    </row>
    <row r="178" spans="1:12" x14ac:dyDescent="0.8">
      <c r="A178">
        <v>34.71</v>
      </c>
      <c r="B178">
        <v>52.32</v>
      </c>
      <c r="C178">
        <v>12.320933406199385</v>
      </c>
      <c r="D178">
        <v>17.268902686621402</v>
      </c>
      <c r="E178" t="s">
        <v>57</v>
      </c>
      <c r="F178">
        <v>6</v>
      </c>
      <c r="G178" s="4"/>
      <c r="H178" s="4"/>
      <c r="I178" s="3">
        <f xml:space="preserve"> (_xlfn.NORM.S.INV(1 - 0.05 / 2) + _xlfn.NORM.S.INV(0.8)) * SQRT(1/E178 + 1/F178)</f>
        <v>1.6174959798351987</v>
      </c>
      <c r="J178" s="2">
        <f t="shared" si="7"/>
        <v>1.5367229693038083</v>
      </c>
      <c r="K178">
        <v>1.0832787898133647</v>
      </c>
      <c r="L178">
        <f t="shared" si="8"/>
        <v>0.45344417949044358</v>
      </c>
    </row>
    <row r="179" spans="1:12" x14ac:dyDescent="0.8">
      <c r="A179">
        <v>8.83</v>
      </c>
      <c r="B179">
        <v>32.17</v>
      </c>
      <c r="C179">
        <v>2.2290356659326918</v>
      </c>
      <c r="D179">
        <v>5.4133723315508231</v>
      </c>
      <c r="E179" t="s">
        <v>57</v>
      </c>
      <c r="F179">
        <v>6</v>
      </c>
      <c r="G179" s="12">
        <v>0.3</v>
      </c>
      <c r="H179" s="3"/>
      <c r="I179" s="3">
        <v>0.66</v>
      </c>
      <c r="J179" s="2">
        <f t="shared" si="7"/>
        <v>0.50352142330418337</v>
      </c>
      <c r="K179">
        <v>5.2026008634694607</v>
      </c>
      <c r="L179">
        <f t="shared" si="8"/>
        <v>-4.6990794401652778</v>
      </c>
    </row>
    <row r="180" spans="1:12" x14ac:dyDescent="0.8">
      <c r="A180">
        <v>30.9</v>
      </c>
      <c r="B180">
        <v>58.2</v>
      </c>
      <c r="C180">
        <v>28.838689290604041</v>
      </c>
      <c r="D180">
        <v>28.309539028391118</v>
      </c>
      <c r="E180" t="s">
        <v>78</v>
      </c>
      <c r="F180">
        <v>7</v>
      </c>
      <c r="G180" s="3"/>
      <c r="H180" s="3"/>
      <c r="I180" s="3">
        <v>0.66</v>
      </c>
      <c r="J180" s="2">
        <f t="shared" si="7"/>
        <v>0.64100503621876381</v>
      </c>
      <c r="K180">
        <v>0.89417003063907974</v>
      </c>
      <c r="L180">
        <f t="shared" si="8"/>
        <v>-0.25316499442031593</v>
      </c>
    </row>
    <row r="181" spans="1:12" x14ac:dyDescent="0.8">
      <c r="A181">
        <v>27.82</v>
      </c>
      <c r="B181">
        <v>8.56</v>
      </c>
      <c r="C181">
        <v>4.0025616797246242</v>
      </c>
      <c r="D181">
        <v>2.6832815729997503</v>
      </c>
      <c r="E181" t="s">
        <v>69</v>
      </c>
      <c r="F181">
        <v>5</v>
      </c>
      <c r="G181" s="13"/>
      <c r="H181" s="13"/>
      <c r="I181" s="13" t="s">
        <v>220</v>
      </c>
      <c r="J181" s="2" t="e">
        <f t="shared" si="7"/>
        <v>#VALUE!</v>
      </c>
      <c r="K181">
        <v>-5.1024709804793345</v>
      </c>
      <c r="L181" t="e">
        <f t="shared" si="8"/>
        <v>#VALUE!</v>
      </c>
    </row>
    <row r="182" spans="1:12" x14ac:dyDescent="0.8">
      <c r="A182">
        <v>67.900000000000006</v>
      </c>
      <c r="B182">
        <v>41.4</v>
      </c>
      <c r="C182">
        <v>8.9406375611585993</v>
      </c>
      <c r="D182">
        <v>12.590377277905533</v>
      </c>
      <c r="E182" t="s">
        <v>57</v>
      </c>
      <c r="F182">
        <v>6</v>
      </c>
      <c r="G182" s="3">
        <v>0.61299999999999999</v>
      </c>
      <c r="H182" s="3"/>
      <c r="I182" s="4">
        <f>0.613*2</f>
        <v>1.226</v>
      </c>
      <c r="J182" s="2">
        <f t="shared" si="7"/>
        <v>1.1370767455299033</v>
      </c>
      <c r="K182">
        <v>-2.2394523566588376</v>
      </c>
      <c r="L182">
        <f t="shared" si="8"/>
        <v>3.3765291021887407</v>
      </c>
    </row>
    <row r="183" spans="1:12" x14ac:dyDescent="0.8">
      <c r="A183">
        <v>13.6</v>
      </c>
      <c r="B183">
        <v>6.39</v>
      </c>
      <c r="C183">
        <v>4.3274935008616708</v>
      </c>
      <c r="D183">
        <v>1.7819090885900997</v>
      </c>
      <c r="E183" t="s">
        <v>65</v>
      </c>
      <c r="F183">
        <v>8</v>
      </c>
      <c r="G183" s="3"/>
      <c r="H183" s="3"/>
      <c r="I183" s="3">
        <v>-0.41</v>
      </c>
      <c r="J183" s="2">
        <f t="shared" si="7"/>
        <v>-1.0669236712454064</v>
      </c>
      <c r="K183">
        <v>-2.0595314578229327</v>
      </c>
      <c r="L183">
        <f t="shared" si="8"/>
        <v>0.99260778657752624</v>
      </c>
    </row>
    <row r="184" spans="1:12" x14ac:dyDescent="0.8">
      <c r="A184">
        <v>27.53</v>
      </c>
      <c r="B184">
        <v>10.63</v>
      </c>
      <c r="C184">
        <v>4.4050539156745829</v>
      </c>
      <c r="D184">
        <v>4.1814471179246073</v>
      </c>
      <c r="E184" t="s">
        <v>69</v>
      </c>
      <c r="F184">
        <v>5</v>
      </c>
      <c r="G184" s="2"/>
      <c r="H184" s="3"/>
      <c r="I184" s="3">
        <v>1.5</v>
      </c>
      <c r="J184" s="2">
        <f t="shared" si="7"/>
        <v>0.91753517890314107</v>
      </c>
      <c r="K184">
        <v>-3.5522073419324864</v>
      </c>
      <c r="L184">
        <f t="shared" si="8"/>
        <v>4.4697425208356272</v>
      </c>
    </row>
    <row r="185" spans="1:12" x14ac:dyDescent="0.8">
      <c r="A185">
        <v>44.8</v>
      </c>
      <c r="B185">
        <v>29.6</v>
      </c>
      <c r="C185">
        <v>2.7727242920997393</v>
      </c>
      <c r="D185">
        <v>2.0795432190748047</v>
      </c>
      <c r="E185" t="s">
        <v>69</v>
      </c>
      <c r="F185">
        <v>5</v>
      </c>
      <c r="G185" s="3">
        <v>40</v>
      </c>
      <c r="H185" s="2">
        <f>SQRT(((E185 - 1) * C185^2 + (F185 - 1) *D185^2) / (E185 + F185 - 2))</f>
        <v>2.4507651866304943</v>
      </c>
      <c r="I185" s="2">
        <f>G185/H185</f>
        <v>16.321433084740022</v>
      </c>
      <c r="J185" s="2">
        <f t="shared" si="7"/>
        <v>88.13479684248334</v>
      </c>
      <c r="K185">
        <v>-5.5986965812690794</v>
      </c>
      <c r="L185">
        <f t="shared" si="8"/>
        <v>93.733493423752421</v>
      </c>
    </row>
    <row r="186" spans="1:12" x14ac:dyDescent="0.8">
      <c r="A186">
        <v>28.3</v>
      </c>
      <c r="B186">
        <v>66.8</v>
      </c>
      <c r="C186">
        <v>1.8371173070873834</v>
      </c>
      <c r="D186">
        <v>3.1843366656181313</v>
      </c>
      <c r="E186" t="s">
        <v>57</v>
      </c>
      <c r="F186">
        <v>6</v>
      </c>
      <c r="G186" s="3">
        <v>40</v>
      </c>
      <c r="H186" s="2">
        <f>SQRT(((E186 - 1) * C186^2 + (F186 - 1) *D186^2) / (E186 + F186 - 2))</f>
        <v>2.5995191863111913</v>
      </c>
      <c r="I186" s="2">
        <f>G186/H186</f>
        <v>15.387460962256409</v>
      </c>
      <c r="J186" s="2">
        <f t="shared" si="7"/>
        <v>3.0358149802833401</v>
      </c>
      <c r="K186">
        <v>13.666260321185039</v>
      </c>
      <c r="L186">
        <f t="shared" si="8"/>
        <v>-10.630445340901698</v>
      </c>
    </row>
    <row r="187" spans="1:12" x14ac:dyDescent="0.8">
      <c r="A187">
        <v>5.39</v>
      </c>
      <c r="B187">
        <v>10.71</v>
      </c>
      <c r="C187">
        <v>2.8460498941515415</v>
      </c>
      <c r="D187">
        <v>4.4271887242357311</v>
      </c>
      <c r="E187" t="s">
        <v>51</v>
      </c>
      <c r="F187">
        <v>10</v>
      </c>
      <c r="G187" s="3">
        <v>40</v>
      </c>
      <c r="H187" s="2">
        <f>SQRT(((E187 - 1) * C187^2 + (F187 - 1) *D187^2) / (E187 + F187 - 2))</f>
        <v>3.7215588131856792</v>
      </c>
      <c r="I187" s="2">
        <f>G187/H187</f>
        <v>10.748184298009182</v>
      </c>
      <c r="J187" s="2">
        <f t="shared" si="7"/>
        <v>7.0456397579915837</v>
      </c>
      <c r="K187">
        <v>1.3689637185674657</v>
      </c>
      <c r="L187">
        <f t="shared" si="8"/>
        <v>5.6766760394241178</v>
      </c>
    </row>
    <row r="188" spans="1:12" x14ac:dyDescent="0.8">
      <c r="A188">
        <v>21.81</v>
      </c>
      <c r="B188">
        <v>29.09</v>
      </c>
      <c r="C188">
        <v>11.570099394560099</v>
      </c>
      <c r="D188">
        <v>11.535458378408723</v>
      </c>
      <c r="E188" t="s">
        <v>109</v>
      </c>
      <c r="F188">
        <v>12</v>
      </c>
      <c r="G188" s="13"/>
      <c r="H188" s="13"/>
      <c r="I188" s="13" t="s">
        <v>220</v>
      </c>
      <c r="J188" s="2" t="e">
        <f t="shared" si="7"/>
        <v>#VALUE!</v>
      </c>
      <c r="K188">
        <v>0.60837941814085661</v>
      </c>
      <c r="L188" t="e">
        <f t="shared" si="8"/>
        <v>#VALUE!</v>
      </c>
    </row>
    <row r="189" spans="1:12" x14ac:dyDescent="0.8">
      <c r="A189">
        <v>5</v>
      </c>
      <c r="B189">
        <v>1.8</v>
      </c>
      <c r="C189">
        <v>1.9901004999748129</v>
      </c>
      <c r="D189">
        <v>1.9230184606498193</v>
      </c>
      <c r="E189" t="s">
        <v>69</v>
      </c>
      <c r="F189">
        <v>5</v>
      </c>
      <c r="G189" s="3"/>
      <c r="H189" s="3"/>
      <c r="I189" s="3" t="e">
        <f>SQRT(3)/PI()*LN((#REF!/(1-#REF!))/(#REF!/(1-#REF!)))</f>
        <v>#REF!</v>
      </c>
      <c r="J189" s="2" t="e">
        <f t="shared" si="7"/>
        <v>#REF!</v>
      </c>
      <c r="K189">
        <v>-1.476176081312834</v>
      </c>
      <c r="L189" t="e">
        <f t="shared" si="8"/>
        <v>#REF!</v>
      </c>
    </row>
    <row r="190" spans="1:12" x14ac:dyDescent="0.8">
      <c r="A190">
        <v>18</v>
      </c>
      <c r="B190">
        <v>8.4</v>
      </c>
      <c r="C190">
        <v>1.5876082640248508</v>
      </c>
      <c r="D190">
        <v>1.1403946685248929</v>
      </c>
      <c r="E190" t="s">
        <v>69</v>
      </c>
      <c r="F190">
        <v>5</v>
      </c>
      <c r="G190" s="3"/>
      <c r="H190" s="3"/>
      <c r="I190" s="3">
        <f xml:space="preserve"> (_xlfn.NORM.S.INV(1 - 0.05 / 2) + _xlfn.NORM.S.INV(0.8)) * SQRT(1/E190 + 1/F190)</f>
        <v>1.7718780696593193</v>
      </c>
      <c r="J190" s="2">
        <f t="shared" si="7"/>
        <v>2.9695188114155266</v>
      </c>
      <c r="K190">
        <v>-6.2696422201671096</v>
      </c>
      <c r="L190">
        <f t="shared" si="8"/>
        <v>9.2391610315826362</v>
      </c>
    </row>
    <row r="191" spans="1:12" x14ac:dyDescent="0.8">
      <c r="A191">
        <v>21.84</v>
      </c>
      <c r="B191">
        <v>31.74</v>
      </c>
      <c r="C191">
        <v>3.1939004367700634</v>
      </c>
      <c r="D191">
        <v>3.6049965325919522</v>
      </c>
      <c r="E191" t="s">
        <v>51</v>
      </c>
      <c r="F191">
        <v>10</v>
      </c>
      <c r="G191" s="3"/>
      <c r="H191" s="3"/>
      <c r="I191" s="3">
        <f xml:space="preserve"> (_xlfn.NORM.S.INV(1 - 0.05 / 2) + _xlfn.NORM.S.INV(0.8)) * SQRT(1/E191 + 1/F191)</f>
        <v>1.2529069984918344</v>
      </c>
      <c r="J191" s="2">
        <f t="shared" si="7"/>
        <v>0.55941426528802629</v>
      </c>
      <c r="K191">
        <v>2.7838092517030635</v>
      </c>
      <c r="L191">
        <f t="shared" si="8"/>
        <v>-2.224394986415037</v>
      </c>
    </row>
    <row r="192" spans="1:12" x14ac:dyDescent="0.8">
      <c r="A192">
        <v>26</v>
      </c>
      <c r="B192">
        <v>3</v>
      </c>
      <c r="C192">
        <v>5.0269274910227217</v>
      </c>
      <c r="D192">
        <v>4.2332020977033453</v>
      </c>
      <c r="E192" t="s">
        <v>78</v>
      </c>
      <c r="F192">
        <v>7</v>
      </c>
      <c r="G192" s="3"/>
      <c r="H192" s="3"/>
      <c r="I192" s="3">
        <f xml:space="preserve"> (_xlfn.NORM.S.INV(1 - 0.05 / 2) + _xlfn.NORM.S.INV(0.8)) * SQRT(1/E192 + 1/F192)</f>
        <v>1.4975102894327246</v>
      </c>
      <c r="J192" s="2">
        <f t="shared" si="7"/>
        <v>0.93118741271976047</v>
      </c>
      <c r="K192">
        <v>-4.6323363556343509</v>
      </c>
      <c r="L192">
        <f t="shared" si="8"/>
        <v>5.563523768354111</v>
      </c>
    </row>
    <row r="193" spans="1:12" x14ac:dyDescent="0.8">
      <c r="A193">
        <v>10.1</v>
      </c>
      <c r="B193">
        <v>16.5</v>
      </c>
      <c r="C193">
        <v>3.6742346141747668</v>
      </c>
      <c r="D193">
        <v>4.4090815370097207</v>
      </c>
      <c r="E193" t="s">
        <v>57</v>
      </c>
      <c r="F193">
        <v>6</v>
      </c>
      <c r="G193" s="13"/>
      <c r="H193" s="13"/>
      <c r="I193" s="13" t="s">
        <v>220</v>
      </c>
      <c r="J193" s="2" t="e">
        <f t="shared" si="7"/>
        <v>#VALUE!</v>
      </c>
      <c r="K193">
        <v>1.4551747864592068</v>
      </c>
      <c r="L193" t="e">
        <f t="shared" si="8"/>
        <v>#VALUE!</v>
      </c>
    </row>
    <row r="194" spans="1:12" x14ac:dyDescent="0.8">
      <c r="A194">
        <v>6.11</v>
      </c>
      <c r="B194">
        <v>14.58</v>
      </c>
      <c r="C194">
        <v>0.82024386617639511</v>
      </c>
      <c r="D194">
        <v>1.8101933598375619</v>
      </c>
      <c r="E194" t="s">
        <v>65</v>
      </c>
      <c r="F194">
        <v>8</v>
      </c>
      <c r="G194" s="3"/>
      <c r="H194" s="3"/>
      <c r="I194" s="3" t="s">
        <v>1209</v>
      </c>
      <c r="J194" s="2" t="e">
        <f t="shared" ref="J194:J242" si="9">I194*(1-(3/(4*SUM(D194:E194)-9)))</f>
        <v>#VALUE!</v>
      </c>
      <c r="K194">
        <v>5.697520171751167</v>
      </c>
      <c r="L194" t="e">
        <f t="shared" si="8"/>
        <v>#VALUE!</v>
      </c>
    </row>
    <row r="195" spans="1:12" x14ac:dyDescent="0.8">
      <c r="A195">
        <v>56.2</v>
      </c>
      <c r="B195">
        <v>13.8</v>
      </c>
      <c r="C195">
        <v>5.0758743089245231</v>
      </c>
      <c r="D195">
        <v>4.5615786740995716</v>
      </c>
      <c r="E195" t="s">
        <v>69</v>
      </c>
      <c r="F195">
        <v>5</v>
      </c>
      <c r="G195" s="3">
        <v>36</v>
      </c>
      <c r="H195" s="2">
        <f>SQRT(((E195 - 1) * C195^2 + (F195 - 1) *D195^2) / (E195 + F195 - 2))</f>
        <v>4.8255828663488938</v>
      </c>
      <c r="I195" s="2">
        <f>G195/H195</f>
        <v>7.4602386897229112</v>
      </c>
      <c r="J195" s="2">
        <f t="shared" si="9"/>
        <v>5.0397374625813907</v>
      </c>
      <c r="K195">
        <v>-7.9316058614985341</v>
      </c>
      <c r="L195">
        <f t="shared" ref="L195:L242" si="10">J195-K195</f>
        <v>12.971343324079925</v>
      </c>
    </row>
    <row r="196" spans="1:12" x14ac:dyDescent="0.8">
      <c r="A196">
        <v>14.83</v>
      </c>
      <c r="B196">
        <v>5.83</v>
      </c>
      <c r="C196">
        <v>5.4133723315508231</v>
      </c>
      <c r="D196">
        <v>3.7232244090304305</v>
      </c>
      <c r="E196" t="s">
        <v>57</v>
      </c>
      <c r="F196">
        <v>6</v>
      </c>
      <c r="G196" s="3">
        <v>2</v>
      </c>
      <c r="H196" s="2">
        <f>SQRT(((E196 - 1) * C196^2 + (F196 - 1) *D196^2) / (E196 + F196 - 2))</f>
        <v>4.6458045589542394</v>
      </c>
      <c r="I196" s="3">
        <v>2</v>
      </c>
      <c r="J196" s="2">
        <f t="shared" si="9"/>
        <v>0.98182517829229332</v>
      </c>
      <c r="K196">
        <v>-1.7875720700457438</v>
      </c>
      <c r="L196">
        <f t="shared" si="10"/>
        <v>2.7693972483380369</v>
      </c>
    </row>
    <row r="197" spans="1:12" x14ac:dyDescent="0.8">
      <c r="A197">
        <v>16.02</v>
      </c>
      <c r="B197">
        <v>14.18</v>
      </c>
      <c r="C197">
        <v>2.9883774861954771</v>
      </c>
      <c r="D197">
        <v>3.5027703321799444</v>
      </c>
      <c r="E197" t="s">
        <v>57</v>
      </c>
      <c r="F197">
        <v>6</v>
      </c>
      <c r="G197" s="3"/>
      <c r="H197" s="3"/>
      <c r="I197" s="3">
        <f xml:space="preserve"> (_xlfn.NORM.S.INV(1 - 0.05 / 2) + _xlfn.NORM.S.INV(0.8)) * SQRT(1/E197 + 1/F197)</f>
        <v>1.6174959798351987</v>
      </c>
      <c r="J197" s="2">
        <f t="shared" si="9"/>
        <v>0.64914451611124013</v>
      </c>
      <c r="K197">
        <v>-0.5214935312993767</v>
      </c>
      <c r="L197">
        <f t="shared" si="10"/>
        <v>1.1706380474106168</v>
      </c>
    </row>
    <row r="198" spans="1:12" x14ac:dyDescent="0.8">
      <c r="A198">
        <v>25.77</v>
      </c>
      <c r="B198">
        <v>37.11</v>
      </c>
      <c r="C198">
        <v>3.5553480842246659</v>
      </c>
      <c r="D198">
        <v>11.91824232007388</v>
      </c>
      <c r="E198" t="s">
        <v>69</v>
      </c>
      <c r="F198">
        <v>5</v>
      </c>
      <c r="G198" s="3"/>
      <c r="H198" s="3"/>
      <c r="I198" s="3">
        <f xml:space="preserve"> (_xlfn.NORM.S.INV(1 - 0.05 / 2) + _xlfn.NORM.S.INV(0.8)) * SQRT(1/E198 + 1/F198)</f>
        <v>1.7718780696593193</v>
      </c>
      <c r="J198" s="2">
        <f t="shared" si="9"/>
        <v>1.6344271754584865</v>
      </c>
      <c r="K198">
        <v>1.1639893262658347</v>
      </c>
      <c r="L198">
        <f t="shared" si="10"/>
        <v>0.47043784919265175</v>
      </c>
    </row>
    <row r="199" spans="1:12" x14ac:dyDescent="0.8">
      <c r="A199">
        <v>24.84</v>
      </c>
      <c r="B199">
        <v>46.22</v>
      </c>
      <c r="C199">
        <v>2.3025203582161904</v>
      </c>
      <c r="D199">
        <v>2.3025203582161815</v>
      </c>
      <c r="E199" t="s">
        <v>57</v>
      </c>
      <c r="F199">
        <v>6</v>
      </c>
      <c r="G199" s="3"/>
      <c r="H199" s="3"/>
      <c r="I199" s="3" t="e">
        <f>SQRT(3)/PI()*LN((#REF!/(1-#REF!))/(#REF!/(1-#REF!)))</f>
        <v>#REF!</v>
      </c>
      <c r="J199" s="2" t="e">
        <f t="shared" si="9"/>
        <v>#REF!</v>
      </c>
      <c r="K199">
        <v>8.5681331892582957</v>
      </c>
      <c r="L199" t="e">
        <f t="shared" si="10"/>
        <v>#REF!</v>
      </c>
    </row>
    <row r="200" spans="1:12" x14ac:dyDescent="0.8">
      <c r="A200">
        <v>41</v>
      </c>
      <c r="B200">
        <v>29.6</v>
      </c>
      <c r="C200">
        <v>1.5652475842498528</v>
      </c>
      <c r="D200">
        <v>2.0795432190748047</v>
      </c>
      <c r="E200" t="s">
        <v>69</v>
      </c>
      <c r="F200">
        <v>5</v>
      </c>
      <c r="G200" s="3">
        <v>5</v>
      </c>
      <c r="H200" s="3"/>
      <c r="I200" s="3">
        <v>1.25</v>
      </c>
      <c r="J200" s="2">
        <f t="shared" si="9"/>
        <v>6.7499278697596674</v>
      </c>
      <c r="K200">
        <v>-5.5914735123621924</v>
      </c>
      <c r="L200">
        <f t="shared" si="10"/>
        <v>12.341401382121859</v>
      </c>
    </row>
    <row r="201" spans="1:12" x14ac:dyDescent="0.8">
      <c r="A201">
        <v>11.02</v>
      </c>
      <c r="B201">
        <v>3.53</v>
      </c>
      <c r="C201">
        <v>3.8701937935974211</v>
      </c>
      <c r="D201">
        <v>3.4292856398964489</v>
      </c>
      <c r="E201" t="s">
        <v>57</v>
      </c>
      <c r="F201">
        <v>6</v>
      </c>
      <c r="G201" s="13"/>
      <c r="H201" s="13"/>
      <c r="I201" s="13" t="s">
        <v>220</v>
      </c>
      <c r="J201" s="2" t="e">
        <f t="shared" si="9"/>
        <v>#VALUE!</v>
      </c>
      <c r="K201">
        <v>-1.8902145173648492</v>
      </c>
      <c r="L201" t="e">
        <f t="shared" si="10"/>
        <v>#VALUE!</v>
      </c>
    </row>
    <row r="202" spans="1:12" x14ac:dyDescent="0.8">
      <c r="A202">
        <v>55.2</v>
      </c>
      <c r="B202">
        <v>35</v>
      </c>
      <c r="C202">
        <v>5.7019733426244636</v>
      </c>
      <c r="D202">
        <v>7.9380413201242535</v>
      </c>
      <c r="E202" t="s">
        <v>69</v>
      </c>
      <c r="F202">
        <v>5</v>
      </c>
      <c r="G202" s="3">
        <v>36</v>
      </c>
      <c r="H202" s="2">
        <f>SQRT(((E202 - 1) * C202^2 + (F202 - 1) *D202^2) / (E202 + F202 - 2))</f>
        <v>6.9110418896140402</v>
      </c>
      <c r="I202" s="2">
        <f>G202/H202</f>
        <v>5.2090553891882845</v>
      </c>
      <c r="J202" s="2">
        <f t="shared" si="9"/>
        <v>4.522212357990707</v>
      </c>
      <c r="K202">
        <v>-2.6384744343203259</v>
      </c>
      <c r="L202">
        <f t="shared" si="10"/>
        <v>7.1606867923110329</v>
      </c>
    </row>
    <row r="203" spans="1:12" x14ac:dyDescent="0.8">
      <c r="A203">
        <v>37</v>
      </c>
      <c r="B203">
        <v>8</v>
      </c>
      <c r="C203">
        <v>6.0747345621022815</v>
      </c>
      <c r="D203">
        <v>2.2290356659326918</v>
      </c>
      <c r="E203" t="s">
        <v>57</v>
      </c>
      <c r="F203">
        <v>6</v>
      </c>
      <c r="G203" s="3">
        <v>40</v>
      </c>
      <c r="H203" s="2">
        <f>SQRT(((E203 - 1) * C203^2 + (F203 - 1) *D203^2) / (E203 + F203 - 2))</f>
        <v>4.5755327558657033</v>
      </c>
      <c r="I203" s="2">
        <f>G203/H203</f>
        <v>8.7421513808902649</v>
      </c>
      <c r="J203" s="2">
        <f t="shared" si="9"/>
        <v>321.49301265876284</v>
      </c>
      <c r="K203">
        <v>-5.8484167989474987</v>
      </c>
      <c r="L203">
        <f t="shared" si="10"/>
        <v>327.34142945771032</v>
      </c>
    </row>
    <row r="204" spans="1:12" x14ac:dyDescent="0.8">
      <c r="A204">
        <v>15.16</v>
      </c>
      <c r="B204">
        <v>9.67</v>
      </c>
      <c r="C204">
        <v>3.3068111527572905</v>
      </c>
      <c r="D204">
        <v>3.086357075906804</v>
      </c>
      <c r="E204" t="s">
        <v>57</v>
      </c>
      <c r="F204">
        <v>6</v>
      </c>
      <c r="G204" s="3">
        <v>500000</v>
      </c>
      <c r="H204" s="2">
        <f>SQRT(((E204 - 1) * C204^2 + (F204 - 1) *D204^2) / (E204 + F204 - 2))</f>
        <v>3.1984840159050347</v>
      </c>
      <c r="I204" s="2">
        <f>G204/H204</f>
        <v>156324.05774537576</v>
      </c>
      <c r="J204" s="2">
        <f t="shared" si="9"/>
        <v>16141.058537874202</v>
      </c>
      <c r="K204">
        <v>-1.5838357681390576</v>
      </c>
      <c r="L204">
        <f t="shared" si="10"/>
        <v>16142.64237364234</v>
      </c>
    </row>
    <row r="205" spans="1:12" x14ac:dyDescent="0.8">
      <c r="A205">
        <v>14.47</v>
      </c>
      <c r="B205">
        <v>14.67</v>
      </c>
      <c r="C205">
        <v>56.170027594794725</v>
      </c>
      <c r="D205">
        <v>48.37356199413064</v>
      </c>
      <c r="E205" t="s">
        <v>92</v>
      </c>
      <c r="F205">
        <v>15</v>
      </c>
      <c r="G205" s="3"/>
      <c r="H205" s="3"/>
      <c r="I205" s="3">
        <f xml:space="preserve"> (_xlfn.NORM.S.INV(1 - 0.05 / 2) + _xlfn.NORM.S.INV(0.8)) * SQRT(1/E205 + 1/F205)</f>
        <v>0.95692352655479229</v>
      </c>
      <c r="J205" s="2">
        <f t="shared" si="9"/>
        <v>0.94136330930601553</v>
      </c>
      <c r="K205">
        <v>3.6868696062442928E-3</v>
      </c>
      <c r="L205">
        <f t="shared" si="10"/>
        <v>0.93767643969977121</v>
      </c>
    </row>
    <row r="206" spans="1:12" x14ac:dyDescent="0.8">
      <c r="A206">
        <v>109.5</v>
      </c>
      <c r="B206">
        <v>11.5</v>
      </c>
      <c r="C206">
        <v>8.9896273560142621</v>
      </c>
      <c r="D206">
        <v>2.0330764865100375</v>
      </c>
      <c r="E206" t="s">
        <v>57</v>
      </c>
      <c r="F206">
        <v>6</v>
      </c>
      <c r="G206" s="3">
        <v>14</v>
      </c>
      <c r="H206" s="2">
        <f>SQRT(((E206 - 1) * C206^2 + (F206 - 1) *D206^2) / (E206 + F206 - 2))</f>
        <v>6.517161959012526</v>
      </c>
      <c r="I206" s="2">
        <f>G206/H206</f>
        <v>2.1481743261941686</v>
      </c>
      <c r="J206" s="2">
        <f t="shared" si="9"/>
        <v>9.5753578468970844</v>
      </c>
      <c r="K206">
        <v>-13.875528973796479</v>
      </c>
      <c r="L206">
        <f t="shared" si="10"/>
        <v>23.450886820693562</v>
      </c>
    </row>
    <row r="207" spans="1:12" x14ac:dyDescent="0.8">
      <c r="A207">
        <v>11.7</v>
      </c>
      <c r="B207">
        <v>15.2</v>
      </c>
      <c r="C207">
        <v>4.9876647842452284</v>
      </c>
      <c r="D207">
        <v>3.2926585003610684</v>
      </c>
      <c r="E207" t="s">
        <v>119</v>
      </c>
      <c r="F207">
        <v>14</v>
      </c>
      <c r="G207" s="3"/>
      <c r="H207" s="3"/>
      <c r="I207" s="3">
        <f xml:space="preserve"> (_xlfn.NORM.S.INV(1 - 0.05 / 2) + _xlfn.NORM.S.INV(0.8)) * SQRT(1/E207 + 1/F207)</f>
        <v>0.94967884432743577</v>
      </c>
      <c r="J207" s="2">
        <f t="shared" si="9"/>
        <v>0.26656051459730423</v>
      </c>
      <c r="K207">
        <v>0.77223182378793676</v>
      </c>
      <c r="L207">
        <f t="shared" si="10"/>
        <v>-0.50567130919063252</v>
      </c>
    </row>
    <row r="208" spans="1:12" x14ac:dyDescent="0.8">
      <c r="A208">
        <v>7.52</v>
      </c>
      <c r="B208">
        <v>3.33</v>
      </c>
      <c r="C208">
        <v>1.5676734353812338</v>
      </c>
      <c r="D208">
        <v>2.2535305633605236</v>
      </c>
      <c r="E208" t="s">
        <v>57</v>
      </c>
      <c r="F208">
        <v>6</v>
      </c>
      <c r="G208" s="3"/>
      <c r="H208" s="3"/>
      <c r="I208" s="3">
        <f xml:space="preserve"> (_xlfn.NORM.S.INV(1 - 0.05 / 2) + _xlfn.NORM.S.INV(0.8)) * SQRT(1/E208 + 1/F208)</f>
        <v>1.6174959798351987</v>
      </c>
      <c r="J208" s="2">
        <f t="shared" si="9"/>
        <v>-341.98828615700995</v>
      </c>
      <c r="K208">
        <v>-1.9917763103688864</v>
      </c>
      <c r="L208">
        <f t="shared" si="10"/>
        <v>-339.99650984664106</v>
      </c>
    </row>
    <row r="209" spans="1:12" x14ac:dyDescent="0.8">
      <c r="A209">
        <v>3.6</v>
      </c>
      <c r="B209">
        <v>36.78</v>
      </c>
      <c r="C209">
        <v>5.1760216382855289</v>
      </c>
      <c r="D209">
        <v>8.7681240867131898</v>
      </c>
      <c r="E209" t="s">
        <v>65</v>
      </c>
      <c r="F209">
        <v>8</v>
      </c>
      <c r="G209" s="3">
        <v>5</v>
      </c>
      <c r="H209" s="3">
        <v>2.5</v>
      </c>
      <c r="I209" s="3">
        <f>G209/H209</f>
        <v>2</v>
      </c>
      <c r="J209" s="2">
        <f t="shared" si="9"/>
        <v>1.7698724387500291</v>
      </c>
      <c r="K209">
        <v>4.3563858339638957</v>
      </c>
      <c r="L209">
        <f t="shared" si="10"/>
        <v>-2.5865133952138666</v>
      </c>
    </row>
    <row r="210" spans="1:12" x14ac:dyDescent="0.8">
      <c r="A210">
        <v>94</v>
      </c>
      <c r="B210">
        <v>29</v>
      </c>
      <c r="C210">
        <v>23.758787847868</v>
      </c>
      <c r="D210">
        <v>6.5053823869162368</v>
      </c>
      <c r="E210" t="s">
        <v>65</v>
      </c>
      <c r="F210">
        <v>8</v>
      </c>
      <c r="G210" s="3"/>
      <c r="H210" s="3"/>
      <c r="I210" s="3">
        <f xml:space="preserve"> (_xlfn.NORM.S.INV(1 - 0.05 / 2) + _xlfn.NORM.S.INV(0.8)) * SQRT(1/E210 + 1/F210)</f>
        <v>1.4007926090564842</v>
      </c>
      <c r="J210" s="2">
        <f t="shared" si="9"/>
        <v>1.1539065806651081</v>
      </c>
      <c r="K210">
        <v>-3.527520845183981</v>
      </c>
      <c r="L210">
        <f t="shared" si="10"/>
        <v>4.6814274258490887</v>
      </c>
    </row>
    <row r="211" spans="1:12" x14ac:dyDescent="0.8">
      <c r="A211">
        <v>28</v>
      </c>
      <c r="B211">
        <v>7.4</v>
      </c>
      <c r="C211">
        <v>4.2376172550148974</v>
      </c>
      <c r="D211">
        <v>6.6626121003702439</v>
      </c>
      <c r="E211" t="s">
        <v>57</v>
      </c>
      <c r="F211">
        <v>6</v>
      </c>
      <c r="G211" s="3"/>
      <c r="H211" s="2"/>
      <c r="I211" s="3">
        <v>0.44</v>
      </c>
      <c r="J211" s="2">
        <f t="shared" si="9"/>
        <v>0.3652143645319943</v>
      </c>
      <c r="K211">
        <v>-3.4045023491498436</v>
      </c>
      <c r="L211">
        <f t="shared" si="10"/>
        <v>3.7697167136818379</v>
      </c>
    </row>
    <row r="212" spans="1:12" x14ac:dyDescent="0.8">
      <c r="A212">
        <v>20.83</v>
      </c>
      <c r="B212">
        <v>59.33</v>
      </c>
      <c r="C212">
        <v>8.2547804331793095</v>
      </c>
      <c r="D212">
        <v>7.6669028949113462</v>
      </c>
      <c r="E212" t="s">
        <v>57</v>
      </c>
      <c r="F212">
        <v>6</v>
      </c>
      <c r="G212" s="3">
        <v>44</v>
      </c>
      <c r="H212" s="3">
        <v>30</v>
      </c>
      <c r="I212" s="2">
        <v>1.47</v>
      </c>
      <c r="J212" s="2">
        <f t="shared" si="9"/>
        <v>1.2664704146652339</v>
      </c>
      <c r="K212">
        <v>4.4595176994863781</v>
      </c>
      <c r="L212">
        <f t="shared" si="10"/>
        <v>-3.1930472848211444</v>
      </c>
    </row>
    <row r="213" spans="1:12" x14ac:dyDescent="0.8">
      <c r="A213">
        <v>36.11</v>
      </c>
      <c r="B213">
        <v>40.65</v>
      </c>
      <c r="C213">
        <v>4.3111019472983934</v>
      </c>
      <c r="D213">
        <v>4.9479692804220194</v>
      </c>
      <c r="E213" t="s">
        <v>57</v>
      </c>
      <c r="F213">
        <v>6</v>
      </c>
      <c r="G213" s="3"/>
      <c r="H213" s="3"/>
      <c r="I213" s="3">
        <f xml:space="preserve"> (_xlfn.NORM.S.INV(1 - 0.05 / 2) + _xlfn.NORM.S.INV(0.8)) * SQRT(1/E213 + 1/F213)</f>
        <v>1.6174959798351987</v>
      </c>
      <c r="J213" s="2">
        <f t="shared" si="9"/>
        <v>1.1678533565186568</v>
      </c>
      <c r="K213">
        <v>0.90276660485731641</v>
      </c>
      <c r="L213">
        <f t="shared" si="10"/>
        <v>0.26508675166134044</v>
      </c>
    </row>
    <row r="214" spans="1:12" x14ac:dyDescent="0.8">
      <c r="A214">
        <v>15.69</v>
      </c>
      <c r="B214">
        <v>17.420000000000002</v>
      </c>
      <c r="C214">
        <v>6.2700239233993358</v>
      </c>
      <c r="D214">
        <v>8.2099208278764788</v>
      </c>
      <c r="E214" t="s">
        <v>109</v>
      </c>
      <c r="F214">
        <v>12</v>
      </c>
      <c r="G214" s="3">
        <v>30</v>
      </c>
      <c r="H214" s="2">
        <f>SQRT(((E214 - 1) * C214^2 + (F214 - 1) *D214^2) / (E214 + F214 - 2))</f>
        <v>7.3046560493975354</v>
      </c>
      <c r="I214" s="2">
        <f>G214/H214</f>
        <v>4.1069695543672182</v>
      </c>
      <c r="J214" s="2">
        <f t="shared" si="9"/>
        <v>3.5901460503756564</v>
      </c>
      <c r="K214">
        <v>0.22865274263605548</v>
      </c>
      <c r="L214">
        <f t="shared" si="10"/>
        <v>3.3614933077396008</v>
      </c>
    </row>
    <row r="215" spans="1:12" x14ac:dyDescent="0.8">
      <c r="A215">
        <v>23.13</v>
      </c>
      <c r="B215">
        <v>28.88</v>
      </c>
      <c r="C215">
        <v>7.36</v>
      </c>
      <c r="D215">
        <v>8.64</v>
      </c>
      <c r="E215" t="s">
        <v>659</v>
      </c>
      <c r="F215">
        <v>16</v>
      </c>
      <c r="G215" s="3"/>
      <c r="H215" s="3"/>
      <c r="I215" s="3">
        <f xml:space="preserve"> (_xlfn.NORM.S.INV(1 - 0.05 / 2) + _xlfn.NORM.S.INV(0.8)) * SQRT(1/E215 + 1/F215)</f>
        <v>0.99050995289983645</v>
      </c>
      <c r="J215" s="2">
        <f t="shared" si="9"/>
        <v>0.87425291617450351</v>
      </c>
      <c r="K215">
        <v>0.69837347848606723</v>
      </c>
      <c r="L215">
        <f t="shared" si="10"/>
        <v>0.17587943768843628</v>
      </c>
    </row>
    <row r="216" spans="1:12" x14ac:dyDescent="0.8">
      <c r="A216">
        <v>4.47</v>
      </c>
      <c r="B216">
        <v>12.25</v>
      </c>
      <c r="C216">
        <v>1.18</v>
      </c>
      <c r="D216">
        <v>3.7799999999999994</v>
      </c>
      <c r="E216" t="s">
        <v>51</v>
      </c>
      <c r="F216">
        <v>10</v>
      </c>
      <c r="G216" s="3">
        <v>6</v>
      </c>
      <c r="H216" s="3">
        <v>3</v>
      </c>
      <c r="I216" s="3">
        <f>G216/H216</f>
        <v>2</v>
      </c>
      <c r="J216" s="2">
        <f t="shared" si="9"/>
        <v>1.0196078431372544</v>
      </c>
      <c r="K216">
        <v>2.660821123577505</v>
      </c>
      <c r="L216">
        <f t="shared" si="10"/>
        <v>-1.6412132804402506</v>
      </c>
    </row>
    <row r="217" spans="1:12" x14ac:dyDescent="0.8">
      <c r="A217">
        <v>22.49</v>
      </c>
      <c r="B217">
        <v>32.71</v>
      </c>
      <c r="C217">
        <v>9.9927974061320803</v>
      </c>
      <c r="D217">
        <v>8.16</v>
      </c>
      <c r="E217" t="s">
        <v>51</v>
      </c>
      <c r="F217">
        <v>16</v>
      </c>
      <c r="G217" s="3">
        <v>7.5</v>
      </c>
      <c r="H217" s="3">
        <v>4</v>
      </c>
      <c r="I217" s="2">
        <f>G217/H217</f>
        <v>1.875</v>
      </c>
      <c r="J217" s="2">
        <f t="shared" si="9"/>
        <v>1.6370558375634516</v>
      </c>
      <c r="K217">
        <v>1.1130282477410789</v>
      </c>
      <c r="L217">
        <f t="shared" si="10"/>
        <v>0.52402758982237274</v>
      </c>
    </row>
    <row r="218" spans="1:12" x14ac:dyDescent="0.8">
      <c r="A218">
        <v>39.520000000000003</v>
      </c>
      <c r="B218">
        <v>20.18</v>
      </c>
      <c r="C218">
        <v>6.8305197459636888</v>
      </c>
      <c r="D218">
        <v>10.973103480784273</v>
      </c>
      <c r="E218" t="s">
        <v>51</v>
      </c>
      <c r="F218">
        <v>10</v>
      </c>
      <c r="G218" s="3"/>
      <c r="H218" s="3"/>
      <c r="I218" s="3">
        <f xml:space="preserve"> (_xlfn.NORM.S.INV(1 - 0.05 / 2) + _xlfn.NORM.S.INV(0.8)) * SQRT(1/E218 + 1/F218)</f>
        <v>1.2529069984918344</v>
      </c>
      <c r="J218" s="2">
        <f t="shared" si="9"/>
        <v>1.1451838411386224</v>
      </c>
      <c r="K218">
        <v>-2.0264408085660714</v>
      </c>
      <c r="L218">
        <f t="shared" si="10"/>
        <v>3.171624649704694</v>
      </c>
    </row>
    <row r="219" spans="1:12" x14ac:dyDescent="0.8">
      <c r="A219">
        <v>30.68</v>
      </c>
      <c r="B219">
        <v>45.42</v>
      </c>
      <c r="C219">
        <v>6.2671205509388441</v>
      </c>
      <c r="D219">
        <v>4.8083261120685235</v>
      </c>
      <c r="E219" t="s">
        <v>1122</v>
      </c>
      <c r="F219">
        <v>8</v>
      </c>
      <c r="G219" s="3">
        <v>37</v>
      </c>
      <c r="H219" s="3">
        <v>22.5</v>
      </c>
      <c r="I219" s="3">
        <f>G219/H219</f>
        <v>1.6444444444444444</v>
      </c>
      <c r="J219" s="2">
        <f t="shared" si="9"/>
        <v>1.1623583931332897</v>
      </c>
      <c r="K219">
        <v>2.4315764944786817</v>
      </c>
      <c r="L219">
        <f t="shared" si="10"/>
        <v>-1.269218101345392</v>
      </c>
    </row>
    <row r="220" spans="1:12" x14ac:dyDescent="0.8">
      <c r="A220">
        <v>41.83</v>
      </c>
      <c r="B220">
        <v>16.079999999999998</v>
      </c>
      <c r="C220">
        <v>7.3484692283495336</v>
      </c>
      <c r="D220">
        <v>6.0747345621022815</v>
      </c>
      <c r="E220" t="s">
        <v>57</v>
      </c>
      <c r="F220">
        <v>6</v>
      </c>
      <c r="G220" s="3" t="e">
        <f>#REF!-#REF!</f>
        <v>#REF!</v>
      </c>
      <c r="H220" s="2">
        <f>SQRT(((E220 - 1) * C220^2 + (F220 - 1) *D220^2) / (E220 + F220 - 2))</f>
        <v>6.7417505145177241</v>
      </c>
      <c r="I220" s="3" t="e">
        <f>G220/H220</f>
        <v>#REF!</v>
      </c>
      <c r="J220" s="2" t="e">
        <f t="shared" si="9"/>
        <v>#REF!</v>
      </c>
      <c r="K220">
        <v>-3.5244109606548868</v>
      </c>
      <c r="L220" t="e">
        <f t="shared" si="10"/>
        <v>#REF!</v>
      </c>
    </row>
    <row r="221" spans="1:12" x14ac:dyDescent="0.8">
      <c r="A221">
        <v>15.33</v>
      </c>
      <c r="B221">
        <v>31.67</v>
      </c>
      <c r="C221">
        <v>4.1641325627314023</v>
      </c>
      <c r="D221">
        <v>5.6093315109734778</v>
      </c>
      <c r="E221" t="s">
        <v>57</v>
      </c>
      <c r="F221">
        <v>6</v>
      </c>
      <c r="G221" s="3" t="s">
        <v>1210</v>
      </c>
      <c r="H221" s="3" t="s">
        <v>1210</v>
      </c>
      <c r="I221" s="3" t="s">
        <v>1210</v>
      </c>
      <c r="J221" s="2" t="e">
        <f t="shared" si="9"/>
        <v>#VALUE!</v>
      </c>
      <c r="K221">
        <v>3.052239848470141</v>
      </c>
      <c r="L221" t="e">
        <f t="shared" si="10"/>
        <v>#VALUE!</v>
      </c>
    </row>
    <row r="222" spans="1:12" x14ac:dyDescent="0.8">
      <c r="A222">
        <v>44.8</v>
      </c>
      <c r="B222">
        <v>29.6</v>
      </c>
      <c r="C222">
        <v>2.7727242920997393</v>
      </c>
      <c r="D222">
        <v>2.0795432190748047</v>
      </c>
      <c r="E222" t="s">
        <v>69</v>
      </c>
      <c r="F222">
        <v>5</v>
      </c>
      <c r="G222" s="3" t="e">
        <f>#REF!-#REF!</f>
        <v>#REF!</v>
      </c>
      <c r="H222" s="2">
        <f>SQRT(((E222 - 1) * C222^2 + (F222 - 1) *D222^2) / (E222 + F222 - 2))</f>
        <v>2.4507651866304943</v>
      </c>
      <c r="I222" s="3" t="e">
        <f>ABS(G222/H222)</f>
        <v>#REF!</v>
      </c>
      <c r="J222" s="2" t="e">
        <f t="shared" si="9"/>
        <v>#REF!</v>
      </c>
      <c r="K222">
        <v>-5.5986965812690794</v>
      </c>
      <c r="L222" t="e">
        <f t="shared" si="10"/>
        <v>#REF!</v>
      </c>
    </row>
    <row r="223" spans="1:12" x14ac:dyDescent="0.8">
      <c r="A223">
        <v>53.19</v>
      </c>
      <c r="B223">
        <v>88.86</v>
      </c>
      <c r="C223">
        <v>14.989196109198119</v>
      </c>
      <c r="D223">
        <v>20.206954248475945</v>
      </c>
      <c r="E223" t="s">
        <v>51</v>
      </c>
      <c r="F223">
        <v>10</v>
      </c>
      <c r="G223" s="3">
        <v>0.5</v>
      </c>
      <c r="H223" s="2">
        <f>SQRT(((E223 - 1) * C223^2 + (F223 - 1) *D223^2) / (E223 + F223 - 2))</f>
        <v>17.790404717150196</v>
      </c>
      <c r="I223" s="3">
        <f>ABS(G223/H223)</f>
        <v>2.8105037965662081E-2</v>
      </c>
      <c r="J223" s="2">
        <f t="shared" si="9"/>
        <v>2.6931187535206395E-2</v>
      </c>
      <c r="K223">
        <v>1.9200939267562649</v>
      </c>
      <c r="L223">
        <f t="shared" si="10"/>
        <v>-1.8931627392210586</v>
      </c>
    </row>
    <row r="224" spans="1:12" x14ac:dyDescent="0.8">
      <c r="A224">
        <v>24.17</v>
      </c>
      <c r="B224">
        <v>37.92</v>
      </c>
      <c r="C224">
        <v>2.8659029990563178</v>
      </c>
      <c r="D224">
        <v>3.3802958450407852</v>
      </c>
      <c r="E224" t="s">
        <v>57</v>
      </c>
      <c r="F224">
        <v>6</v>
      </c>
      <c r="G224" s="3"/>
      <c r="H224" s="3"/>
      <c r="I224" s="3">
        <v>-0.59</v>
      </c>
      <c r="J224" s="2">
        <f t="shared" si="9"/>
        <v>-0.19850957566420765</v>
      </c>
      <c r="K224">
        <v>4.0488450106615455</v>
      </c>
      <c r="L224">
        <f t="shared" si="10"/>
        <v>-4.2473545863257529</v>
      </c>
    </row>
    <row r="225" spans="1:12" x14ac:dyDescent="0.8">
      <c r="A225">
        <v>10.23</v>
      </c>
      <c r="B225">
        <v>2.85</v>
      </c>
      <c r="C225">
        <v>5.7466947021744597</v>
      </c>
      <c r="D225">
        <v>5.9032194605994457</v>
      </c>
      <c r="E225" t="s">
        <v>69</v>
      </c>
      <c r="F225">
        <v>5</v>
      </c>
      <c r="G225" s="3"/>
      <c r="H225" s="3"/>
      <c r="I225" s="3">
        <v>0.41</v>
      </c>
      <c r="J225" s="2">
        <f t="shared" si="9"/>
        <v>0.32582766835761262</v>
      </c>
      <c r="K225">
        <v>-1.1435877191350885</v>
      </c>
      <c r="L225">
        <f t="shared" si="10"/>
        <v>1.4694153874927012</v>
      </c>
    </row>
    <row r="226" spans="1:12" x14ac:dyDescent="0.8">
      <c r="A226">
        <v>41.81</v>
      </c>
      <c r="B226">
        <v>17.11</v>
      </c>
      <c r="C226">
        <v>19.106019993708788</v>
      </c>
      <c r="D226">
        <v>7.3484692283495336</v>
      </c>
      <c r="E226" t="s">
        <v>57</v>
      </c>
      <c r="F226">
        <v>6</v>
      </c>
      <c r="G226" s="3" t="e">
        <f>#REF!-#REF!</f>
        <v>#REF!</v>
      </c>
      <c r="H226" s="2">
        <f>SQRT(((E226 - 1) * C226^2 + (F226 - 1) *D226^2) / (E226 + F226 - 2))</f>
        <v>14.474805698177782</v>
      </c>
      <c r="I226" s="3" t="e">
        <f>ABS(G226/H226)</f>
        <v>#REF!</v>
      </c>
      <c r="J226" s="2" t="e">
        <f t="shared" si="9"/>
        <v>#REF!</v>
      </c>
      <c r="K226">
        <v>-1.5745853170091597</v>
      </c>
      <c r="L226" t="e">
        <f t="shared" si="10"/>
        <v>#REF!</v>
      </c>
    </row>
    <row r="227" spans="1:12" x14ac:dyDescent="0.8">
      <c r="A227">
        <v>67.709999999999994</v>
      </c>
      <c r="B227">
        <v>31.72</v>
      </c>
      <c r="C227">
        <v>8.5977089971689669</v>
      </c>
      <c r="D227">
        <v>10.140887535122356</v>
      </c>
      <c r="E227" t="s">
        <v>57</v>
      </c>
      <c r="F227">
        <v>6</v>
      </c>
      <c r="G227" s="3"/>
      <c r="H227" s="3"/>
      <c r="I227" s="3" t="e">
        <f>SQRT(3)/PI()*LN((#REF!/(1-#REF!))/(#REF!/(1-#REF!)))</f>
        <v>#REF!</v>
      </c>
      <c r="J227" s="2" t="e">
        <f t="shared" si="9"/>
        <v>#REF!</v>
      </c>
      <c r="K227">
        <v>-3.5325559256656711</v>
      </c>
      <c r="L227" t="e">
        <f t="shared" si="10"/>
        <v>#REF!</v>
      </c>
    </row>
    <row r="228" spans="1:12" x14ac:dyDescent="0.8">
      <c r="A228">
        <v>35</v>
      </c>
      <c r="B228">
        <v>56.5</v>
      </c>
      <c r="C228">
        <v>12.245599209511962</v>
      </c>
      <c r="D228">
        <v>11.344932789576145</v>
      </c>
      <c r="E228" t="s">
        <v>81</v>
      </c>
      <c r="F228">
        <v>3</v>
      </c>
      <c r="G228" s="3"/>
      <c r="H228" s="3"/>
      <c r="I228" s="14" t="s">
        <v>220</v>
      </c>
      <c r="J228" s="2" t="e">
        <f t="shared" si="9"/>
        <v>#VALUE!</v>
      </c>
      <c r="K228">
        <v>1.4532973729139302</v>
      </c>
      <c r="L228" t="e">
        <f t="shared" si="10"/>
        <v>#VALUE!</v>
      </c>
    </row>
    <row r="229" spans="1:12" x14ac:dyDescent="0.8">
      <c r="A229">
        <v>9.57</v>
      </c>
      <c r="B229">
        <v>17.93</v>
      </c>
      <c r="C229">
        <v>2.1019038988498022</v>
      </c>
      <c r="D229">
        <v>2.1019038988498022</v>
      </c>
      <c r="E229" t="s">
        <v>69</v>
      </c>
      <c r="F229">
        <v>5</v>
      </c>
      <c r="G229" s="3" t="e">
        <f>#REF!-#REF!</f>
        <v>#REF!</v>
      </c>
      <c r="H229" s="2">
        <f>SQRT(((E229 - 1) * C229^2 + (F229 - 1) *D229^2) / (E229 + F229 - 2))</f>
        <v>2.1019038988498022</v>
      </c>
      <c r="I229" s="3" t="e">
        <f>ABS(G229/H229)</f>
        <v>#REF!</v>
      </c>
      <c r="J229" s="2" t="e">
        <f t="shared" si="9"/>
        <v>#REF!</v>
      </c>
      <c r="K229">
        <v>3.5903638951640056</v>
      </c>
      <c r="L229" t="e">
        <f t="shared" si="10"/>
        <v>#REF!</v>
      </c>
    </row>
    <row r="230" spans="1:12" x14ac:dyDescent="0.8">
      <c r="A230">
        <v>8.5</v>
      </c>
      <c r="B230">
        <v>26.5</v>
      </c>
      <c r="C230">
        <v>2.998132752230962</v>
      </c>
      <c r="D230">
        <v>11.398561312727148</v>
      </c>
      <c r="E230" t="s">
        <v>65</v>
      </c>
      <c r="F230">
        <v>8</v>
      </c>
      <c r="G230" s="3" t="e">
        <f>#REF!-#REF!</f>
        <v>#REF!</v>
      </c>
      <c r="H230" s="2">
        <f>SQRT(((E230 - 1) * C230^2 + (F230 - 1) *D230^2) / (E230 + F230 - 2))</f>
        <v>8.3341466269798747</v>
      </c>
      <c r="I230" s="3" t="e">
        <f>ABS(G230/H230)</f>
        <v>#REF!</v>
      </c>
      <c r="J230" s="2" t="e">
        <f t="shared" si="9"/>
        <v>#REF!</v>
      </c>
      <c r="K230">
        <v>2.041622242694876</v>
      </c>
      <c r="L230" t="e">
        <f t="shared" si="10"/>
        <v>#REF!</v>
      </c>
    </row>
    <row r="231" spans="1:12" x14ac:dyDescent="0.8">
      <c r="A231">
        <v>10.31</v>
      </c>
      <c r="B231">
        <v>18.45</v>
      </c>
      <c r="C231">
        <v>2.0575713839378689</v>
      </c>
      <c r="D231">
        <v>1.9350968967987083</v>
      </c>
      <c r="E231" t="s">
        <v>57</v>
      </c>
      <c r="F231">
        <v>6</v>
      </c>
      <c r="G231" s="3" t="e">
        <f>#REF!-#REF!</f>
        <v>#REF!</v>
      </c>
      <c r="H231" s="2">
        <f>SQRT(((E231 - 1) * C231^2 + (F231 - 1) *D231^2) / (E231 + F231 - 2))</f>
        <v>1.9972731410600788</v>
      </c>
      <c r="I231" s="3" t="e">
        <f>ABS(G231/H231)</f>
        <v>#REF!</v>
      </c>
      <c r="J231" s="2" t="e">
        <f t="shared" si="9"/>
        <v>#REF!</v>
      </c>
      <c r="K231">
        <v>3.7607020768153352</v>
      </c>
      <c r="L231" t="e">
        <f t="shared" si="10"/>
        <v>#REF!</v>
      </c>
    </row>
    <row r="232" spans="1:12" x14ac:dyDescent="0.8">
      <c r="A232">
        <v>7.25</v>
      </c>
      <c r="B232">
        <v>25.38</v>
      </c>
      <c r="C232">
        <v>2.9981327522309602</v>
      </c>
      <c r="D232">
        <v>6.8730779131332396</v>
      </c>
      <c r="E232" t="s">
        <v>65</v>
      </c>
      <c r="F232">
        <v>8</v>
      </c>
      <c r="G232" s="14" t="e">
        <f>LN(#REF!)</f>
        <v>#REF!</v>
      </c>
      <c r="H232" s="15"/>
      <c r="I232" s="14" t="e">
        <f>ABS(G232*(SQRT(3)/PI()))</f>
        <v>#REF!</v>
      </c>
      <c r="J232" s="2" t="e">
        <f t="shared" si="9"/>
        <v>#REF!</v>
      </c>
      <c r="K232">
        <v>3.2322169561814098</v>
      </c>
      <c r="L232" t="e">
        <f t="shared" si="10"/>
        <v>#REF!</v>
      </c>
    </row>
    <row r="233" spans="1:12" x14ac:dyDescent="0.8">
      <c r="A233">
        <v>64.599999999999994</v>
      </c>
      <c r="B233">
        <v>35.4</v>
      </c>
      <c r="C233">
        <v>3.98020099994962</v>
      </c>
      <c r="D233">
        <v>3.1304951684997002</v>
      </c>
      <c r="E233" t="s">
        <v>69</v>
      </c>
      <c r="F233">
        <v>5</v>
      </c>
      <c r="G233" s="3" t="e">
        <f>#REF!-#REF!</f>
        <v>#REF!</v>
      </c>
      <c r="H233" s="2">
        <f>SQRT(((E233 - 1) * C233^2 + (F233 - 1) *D233^2) / (E233 + F233 - 2))</f>
        <v>3.5806424004639115</v>
      </c>
      <c r="I233" s="3" t="e">
        <f>ABS(G233/H233)</f>
        <v>#REF!</v>
      </c>
      <c r="J233" s="2" t="e">
        <f t="shared" si="9"/>
        <v>#REF!</v>
      </c>
      <c r="K233">
        <v>-7.3615106998498403</v>
      </c>
      <c r="L233" t="e">
        <f t="shared" si="10"/>
        <v>#REF!</v>
      </c>
    </row>
    <row r="234" spans="1:12" x14ac:dyDescent="0.8">
      <c r="A234">
        <v>7.25</v>
      </c>
      <c r="B234">
        <v>25.38</v>
      </c>
      <c r="C234">
        <v>2.9981327522309602</v>
      </c>
      <c r="D234">
        <v>6.8730779131332396</v>
      </c>
      <c r="E234" t="s">
        <v>65</v>
      </c>
      <c r="F234">
        <v>8</v>
      </c>
      <c r="G234" s="3" t="e">
        <f>#REF!-#REF!</f>
        <v>#REF!</v>
      </c>
      <c r="H234" s="2">
        <f>SQRT(((E234 - 1) * C234^2 + (F234 - 1) *D234^2) / (E234 + F234 - 2))</f>
        <v>5.3022636675291785</v>
      </c>
      <c r="I234" s="3" t="e">
        <f>ABS(G234/H234)</f>
        <v>#REF!</v>
      </c>
      <c r="J234" s="2" t="e">
        <f t="shared" si="9"/>
        <v>#REF!</v>
      </c>
      <c r="K234">
        <v>3.2322169561814098</v>
      </c>
      <c r="L234" t="e">
        <f t="shared" si="10"/>
        <v>#REF!</v>
      </c>
    </row>
    <row r="235" spans="1:12" x14ac:dyDescent="0.75">
      <c r="A235">
        <v>89</v>
      </c>
      <c r="B235">
        <v>169.5</v>
      </c>
      <c r="C235">
        <v>11.5126017910809</v>
      </c>
      <c r="D235">
        <v>19.3509689679871</v>
      </c>
      <c r="E235" t="s">
        <v>57</v>
      </c>
      <c r="F235">
        <v>6</v>
      </c>
      <c r="J235" s="2">
        <f t="shared" si="9"/>
        <v>0</v>
      </c>
      <c r="K235">
        <v>4.6654000031026399</v>
      </c>
      <c r="L235">
        <f t="shared" si="10"/>
        <v>-4.6654000031026399</v>
      </c>
    </row>
    <row r="236" spans="1:12" x14ac:dyDescent="0.75">
      <c r="A236">
        <v>102.8</v>
      </c>
      <c r="B236">
        <v>95</v>
      </c>
      <c r="C236">
        <v>9.2338507676916599</v>
      </c>
      <c r="D236">
        <v>5.8185908947098097</v>
      </c>
      <c r="E236" t="s">
        <v>51</v>
      </c>
      <c r="F236">
        <v>10</v>
      </c>
      <c r="J236" s="2">
        <f t="shared" si="9"/>
        <v>0</v>
      </c>
      <c r="K236">
        <v>-0.96788208374725404</v>
      </c>
      <c r="L236">
        <f t="shared" si="10"/>
        <v>0.96788208374725404</v>
      </c>
    </row>
    <row r="237" spans="1:12" x14ac:dyDescent="0.75">
      <c r="A237">
        <v>276.5</v>
      </c>
      <c r="B237">
        <v>467.5</v>
      </c>
      <c r="C237">
        <v>71.598585181552295</v>
      </c>
      <c r="D237">
        <v>37.207749192876399</v>
      </c>
      <c r="E237" t="s">
        <v>57</v>
      </c>
      <c r="F237">
        <v>6</v>
      </c>
      <c r="J237" s="2">
        <f t="shared" si="9"/>
        <v>0</v>
      </c>
      <c r="K237">
        <v>3.0889724975394799</v>
      </c>
      <c r="L237">
        <f t="shared" si="10"/>
        <v>-3.0889724975394799</v>
      </c>
    </row>
    <row r="238" spans="1:12" x14ac:dyDescent="0.75">
      <c r="A238">
        <v>270</v>
      </c>
      <c r="B238">
        <v>368.57</v>
      </c>
      <c r="C238">
        <v>32.15</v>
      </c>
      <c r="D238">
        <v>42.2</v>
      </c>
      <c r="E238" t="s">
        <v>78</v>
      </c>
      <c r="F238">
        <v>7</v>
      </c>
      <c r="J238" s="2">
        <f t="shared" si="9"/>
        <v>0</v>
      </c>
      <c r="K238">
        <v>2.4592964080040201</v>
      </c>
      <c r="L238">
        <f t="shared" si="10"/>
        <v>-2.4592964080040201</v>
      </c>
    </row>
    <row r="239" spans="1:12" x14ac:dyDescent="0.75">
      <c r="A239">
        <v>76.8</v>
      </c>
      <c r="B239">
        <v>78.400000000000006</v>
      </c>
      <c r="C239">
        <v>5.2547597471245</v>
      </c>
      <c r="D239">
        <v>5.2771204268994998</v>
      </c>
      <c r="E239" t="s">
        <v>69</v>
      </c>
      <c r="F239">
        <v>5</v>
      </c>
      <c r="J239" s="2">
        <f t="shared" si="9"/>
        <v>0</v>
      </c>
      <c r="K239">
        <v>0.27427620799163099</v>
      </c>
      <c r="L239">
        <f t="shared" si="10"/>
        <v>-0.27427620799163099</v>
      </c>
    </row>
    <row r="240" spans="1:12" x14ac:dyDescent="0.75">
      <c r="A240">
        <v>83</v>
      </c>
      <c r="B240">
        <v>29.2</v>
      </c>
      <c r="C240">
        <v>8.2063694774242197</v>
      </c>
      <c r="D240">
        <v>5.5007272246494798</v>
      </c>
      <c r="E240" t="s">
        <v>69</v>
      </c>
      <c r="F240">
        <v>5</v>
      </c>
      <c r="J240" s="2">
        <f t="shared" si="9"/>
        <v>0</v>
      </c>
      <c r="K240">
        <v>-6.9520333827715204</v>
      </c>
      <c r="L240">
        <f t="shared" si="10"/>
        <v>6.9520333827715204</v>
      </c>
    </row>
    <row r="241" spans="1:12" x14ac:dyDescent="0.75">
      <c r="A241">
        <v>102</v>
      </c>
      <c r="B241">
        <v>98.8</v>
      </c>
      <c r="C241">
        <v>0.69318107302493404</v>
      </c>
      <c r="D241">
        <v>3.4211840055746698</v>
      </c>
      <c r="E241" t="s">
        <v>69</v>
      </c>
      <c r="F241">
        <v>5</v>
      </c>
      <c r="J241" s="2">
        <f t="shared" si="9"/>
        <v>0</v>
      </c>
      <c r="K241">
        <v>-1.1703001365383401</v>
      </c>
      <c r="L241">
        <f t="shared" si="10"/>
        <v>1.1703001365383401</v>
      </c>
    </row>
    <row r="242" spans="1:12" x14ac:dyDescent="0.75">
      <c r="A242">
        <v>24.33</v>
      </c>
      <c r="B242">
        <v>45.33</v>
      </c>
      <c r="C242">
        <v>6.6381172029424098</v>
      </c>
      <c r="D242">
        <v>4.9234743829941801</v>
      </c>
      <c r="E242" t="s">
        <v>57</v>
      </c>
      <c r="F242">
        <v>6</v>
      </c>
      <c r="J242" s="2">
        <f t="shared" si="9"/>
        <v>0</v>
      </c>
      <c r="K242">
        <v>3.3158081578043701</v>
      </c>
      <c r="L242">
        <f t="shared" si="10"/>
        <v>-3.3158081578043701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</vt:lpstr>
      <vt:lpstr>test_yi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Pellegrini, Pasquale</cp:lastModifiedBy>
  <dcterms:created xsi:type="dcterms:W3CDTF">2021-08-12T12:18:17Z</dcterms:created>
  <dcterms:modified xsi:type="dcterms:W3CDTF">2025-09-19T13:31:50Z</dcterms:modified>
</cp:coreProperties>
</file>